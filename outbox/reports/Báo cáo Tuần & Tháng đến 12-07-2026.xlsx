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tabRatio="500"/>
  </bookViews>
  <sheets>
    <sheet name="00_Tong_quan" sheetId="1" r:id="rId1"/>
    <sheet name="01_GT" sheetId="2" r:id="rId2"/>
    <sheet name="02_MT" sheetId="3" r:id="rId3"/>
    <sheet name="03_Nhanh" sheetId="4" r:id="rId4"/>
    <sheet name="04_Shopee" sheetId="5" r:id="rId5"/>
    <sheet name="05_TikTok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<sst xmlns="http://schemas.openxmlformats.org/spreadsheetml/2006/main" count="1195" uniqueCount="256">
  <si>
    <t>HOÀNG HÀ DISTRIBUTION | EXECUTIVE SALES DASHBOARD</t>
  </si>
  <si>
    <t>net_cur</t>
  </si>
  <si>
    <t>net_prev</t>
  </si>
  <si>
    <t>TỔNG QUAN</t>
  </si>
  <si>
    <t>GT</t>
  </si>
  <si>
    <t>MT</t>
  </si>
  <si>
    <t>NHANH.VN</t>
  </si>
  <si>
    <t>SHOPEE</t>
  </si>
  <si>
    <t>TIKTOK</t>
  </si>
  <si>
    <t>profit_cur</t>
  </si>
  <si>
    <t>Dữ liệu đến 12/07/2026 | MTD: 01/07-12/07 | WTD: 06/07-12/07 | Đơn vị: VND</t>
  </si>
  <si>
    <t>profit_prev</t>
  </si>
  <si>
    <t>pm_cur</t>
  </si>
  <si>
    <t>DOANH THU THUẦN MTD</t>
  </si>
  <si>
    <t>LỢI NHUẬN MTD</t>
  </si>
  <si>
    <t>BIÊN LỢI NHUẬN</t>
  </si>
  <si>
    <t>TỔNG ĐƠN HÀNG</t>
  </si>
  <si>
    <t>pm_prev</t>
  </si>
  <si>
    <t>orders_cur</t>
  </si>
  <si>
    <t>orders_prev</t>
  </si>
  <si>
    <t>gm_cur</t>
  </si>
  <si>
    <t>BIÊN LÃI GỘP</t>
  </si>
  <si>
    <t>ADS / DOANH THU</t>
  </si>
  <si>
    <t>TỶ LỆ HỦY ĐƠN</t>
  </si>
  <si>
    <t>DỰ BÁO DOANH THU CUỐI THÁNG</t>
  </si>
  <si>
    <t>gm_prev</t>
  </si>
  <si>
    <t>ads_cur</t>
  </si>
  <si>
    <t>ads_prev</t>
  </si>
  <si>
    <t>cancel_cur</t>
  </si>
  <si>
    <t>cancel_prev</t>
  </si>
  <si>
    <t>XU HƯỚNG &amp; HIỆU QUẢ TOÀN CÔNG TY</t>
  </si>
  <si>
    <t>forecast_net</t>
  </si>
  <si>
    <t>forecast_profit</t>
  </si>
  <si>
    <t>gross_cur</t>
  </si>
  <si>
    <t>cogs_cur</t>
  </si>
  <si>
    <t>week_net</t>
  </si>
  <si>
    <t>week_profit</t>
  </si>
  <si>
    <t>week_prev_net</t>
  </si>
  <si>
    <t>week_prev_profit</t>
  </si>
  <si>
    <t>week_pm</t>
  </si>
  <si>
    <t>week_prev_pm</t>
  </si>
  <si>
    <t>SCORECARD THEO KÊNH — THÁNG HIỆN TẠI</t>
  </si>
  <si>
    <t>Kênh</t>
  </si>
  <si>
    <t>DT thuần MTD</t>
  </si>
  <si>
    <t>Tỷ trọng</t>
  </si>
  <si>
    <t>Lợi nhuận</t>
  </si>
  <si>
    <t>Biên LN</t>
  </si>
  <si>
    <t>Đơn hàng</t>
  </si>
  <si>
    <t>Hủy đơn</t>
  </si>
  <si>
    <t>Ads/DT</t>
  </si>
  <si>
    <t>Tăng trưởng DT</t>
  </si>
  <si>
    <t>WTD DT</t>
  </si>
  <si>
    <t>WTD LN</t>
  </si>
  <si>
    <t>Trạng thái</t>
  </si>
  <si>
    <t>TỐT</t>
  </si>
  <si>
    <t>NHANH</t>
  </si>
  <si>
    <t>LỖ</t>
  </si>
  <si>
    <t>NHẬN ĐỊNH ĐIỀU HÀNH</t>
  </si>
  <si>
    <t>1. Kênh có doanh thu MTD lớn nhất: SHOPEE.</t>
  </si>
  <si>
    <t>2. Kênh đóng góp lợi nhuận lớn nhất: SHOPEE (0.06 tỷ đồng).</t>
  </si>
  <si>
    <t>3. Tỷ lệ Ads/Doanh thu cao nhất: NHANH (65.6%); cần rà soát hiệu quả chi tiêu.</t>
  </si>
  <si>
    <t>4. Kênh đang lỗ: NHANH.</t>
  </si>
  <si>
    <t>Ngày</t>
  </si>
  <si>
    <t>DT thuần hiện tại</t>
  </si>
  <si>
    <t>DT thuần kỳ trước</t>
  </si>
  <si>
    <t>LN hiện tại</t>
  </si>
  <si>
    <t>LN kỳ trước</t>
  </si>
  <si>
    <t>Nhóm chi phí</t>
  </si>
  <si>
    <t>Giá trị</t>
  </si>
  <si>
    <t>% DT thuần</t>
  </si>
  <si>
    <t>01/07</t>
  </si>
  <si>
    <t>Platform fees</t>
  </si>
  <si>
    <t>02/07</t>
  </si>
  <si>
    <t>Ads cost</t>
  </si>
  <si>
    <t>03/07</t>
  </si>
  <si>
    <t>Backoffice fee</t>
  </si>
  <si>
    <t>04/07</t>
  </si>
  <si>
    <t>Packaging cost</t>
  </si>
  <si>
    <t>05/07</t>
  </si>
  <si>
    <t>Shipping / return fee</t>
  </si>
  <si>
    <t>06/07</t>
  </si>
  <si>
    <t>Live cost</t>
  </si>
  <si>
    <t>07/07</t>
  </si>
  <si>
    <t>Booking fee</t>
  </si>
  <si>
    <t>08/07</t>
  </si>
  <si>
    <t>09/07</t>
  </si>
  <si>
    <t>10/07</t>
  </si>
  <si>
    <t>11/07</t>
  </si>
  <si>
    <t>12/07</t>
  </si>
  <si>
    <t>TOP 10 SKU TOÀN CÔNG TY THEO DOANH THU THUẦN</t>
  </si>
  <si>
    <t>Hạng</t>
  </si>
  <si>
    <t>SKU</t>
  </si>
  <si>
    <t>Tên sản phẩm</t>
  </si>
  <si>
    <t>Số lượng</t>
  </si>
  <si>
    <t>Doanh thu thuần</t>
  </si>
  <si>
    <t>TB/ngày</t>
  </si>
  <si>
    <t>Mức bán</t>
  </si>
  <si>
    <t>ST01902</t>
  </si>
  <si>
    <t>[KOL huynhdangthong x LPM] Sữa Tắm/Gel Tắm Pháp Le Petit Marseillais Chiết Xuất Thiên Nhiên 650ml - Sữa Tắm Lưu Hương Lành Tính - Dịu Nhẹ, An Toàn Cho Da</t>
  </si>
  <si>
    <t>Rất mạnh</t>
  </si>
  <si>
    <t>ST01172</t>
  </si>
  <si>
    <t>Sữa Tắm Pháp Le Petit Marseillais Cho Nam Chiết Xuất Thiên Nhiên 4in1 Nhiều Mùi Hương Dưỡng Ẩm, Thơm Lâu - Phù Hợp Mọi Loại Da (250ml)</t>
  </si>
  <si>
    <t>ST68823</t>
  </si>
  <si>
    <t>ST01288</t>
  </si>
  <si>
    <t>Sữa Tắm/Gel Tắm Pháp Le Petit Marseillais Chiết Xuất Thiên Nhiên 650ml - Sữa Tắm Lưu Hương Lành Tính - Dịu Nhẹ, An Toàn Cho Da</t>
  </si>
  <si>
    <t>3574661701356</t>
  </si>
  <si>
    <t>ST68816</t>
  </si>
  <si>
    <t>Tốt</t>
  </si>
  <si>
    <t>3574661701172</t>
  </si>
  <si>
    <t>Sữa Tắm Dạng Kem Le Petit Marseillais 4 Trong 1 Mát Lạnh Với Chiết Xuất Gỗ Tuyết Tùng Và Dương Xỉ Dành Cho Cơ Thể, Tóc, Mặt Và Râu 250ml</t>
  </si>
  <si>
    <t>ST01431</t>
  </si>
  <si>
    <t>ST01356</t>
  </si>
  <si>
    <t>3574661701431</t>
  </si>
  <si>
    <t>PHẠM VI DỮ LIỆU &amp; NGUỒN THAM KHẢO THIẾT KẾ</t>
  </si>
  <si>
    <t>KÊNH GT | SALES &amp; PROFITABILITY DASHBOARD</t>
  </si>
  <si>
    <t>KÊNH GT | Dữ liệu đến 12/07/2026 | MTD: 01/07-12/07 | WTD: 06/07-12/07</t>
  </si>
  <si>
    <t>XU HƯỚNG DOANH THU, LỢI NHUẬN &amp; CHI PHÍ</t>
  </si>
  <si>
    <t>Cost type</t>
  </si>
  <si>
    <t>Amount</t>
  </si>
  <si>
    <t>Pct</t>
  </si>
  <si>
    <t>P&amp;L THÁNG / TUẦN VÀ SO SÁNH KỲ TRƯỚC</t>
  </si>
  <si>
    <t>Chỉ tiêu</t>
  </si>
  <si>
    <t>MTD</t>
  </si>
  <si>
    <t>WTD</t>
  </si>
  <si>
    <t>MTD vs kỳ trước</t>
  </si>
  <si>
    <t>WTD vs tuần trước</t>
  </si>
  <si>
    <t>CHỈ SỐ ĐIỀU HÀNH</t>
  </si>
  <si>
    <t>Doanh thu gộp</t>
  </si>
  <si>
    <t>Doanh thu MTD tăng 89.0% so với cùng kỳ.</t>
  </si>
  <si>
    <t>Kênh đang có lãi, biên lợi nhuận 28.1%.</t>
  </si>
  <si>
    <t>Giá vốn</t>
  </si>
  <si>
    <t>Chi phí lớn nhất: Backoffice fee - 17.2 triệu (15.0% DT thuần).</t>
  </si>
  <si>
    <t>Lãi gộp</t>
  </si>
  <si>
    <t>Ads/DT: 1.7%; Tỷ lệ hủy: 0.0%.</t>
  </si>
  <si>
    <t>Phí sàn</t>
  </si>
  <si>
    <t>Dự báo DT cuối tháng: 0.30 tỷ đồng.</t>
  </si>
  <si>
    <t>VC / hoàn</t>
  </si>
  <si>
    <t>CƠ CẤU CHI PHÍ THÁNG</t>
  </si>
  <si>
    <t>Backoffice</t>
  </si>
  <si>
    <t>% DT</t>
  </si>
  <si>
    <t>Mức</t>
  </si>
  <si>
    <t>Quảng cáo</t>
  </si>
  <si>
    <t>Theo dõi</t>
  </si>
  <si>
    <t>Live + Booking</t>
  </si>
  <si>
    <t>Ổn định</t>
  </si>
  <si>
    <t>Đóng gói</t>
  </si>
  <si>
    <t>CƠ CẤU CHI PHÍ THÁNG - NHÓM CẦN CHÚ Ý</t>
  </si>
  <si>
    <t>Live</t>
  </si>
  <si>
    <t>Tổng chi phí theo nhóm</t>
  </si>
  <si>
    <t>So với DT hiện tại</t>
  </si>
  <si>
    <t>CHI TIẾT DOANH SỐ &amp; CHI PHÍ TỪNG NGÀY</t>
  </si>
  <si>
    <t>DT gộp</t>
  </si>
  <si>
    <t>DT hiện tại</t>
  </si>
  <si>
    <t>DT kỳ trước</t>
  </si>
  <si>
    <t>Đơn</t>
  </si>
  <si>
    <t>Tỷ lệ hủy</t>
  </si>
  <si>
    <t>VC/hoàn</t>
  </si>
  <si>
    <t>Ads</t>
  </si>
  <si>
    <t>Booking</t>
  </si>
  <si>
    <t>Tổng chi phí</t>
  </si>
  <si>
    <t>TOP 10 SKU THEO DOANH THU THUẦN</t>
  </si>
  <si>
    <t>3574661575209</t>
  </si>
  <si>
    <t>Mặt Nạ Dưỡng Tóc Le Petit Marseillais 4in1 Chiết Xuất Nước Dừa Hữu Cơ, Dưỡng Ẩm, Thơm Lâu - Phù Hợp Mọi Loại Da (300ml)</t>
  </si>
  <si>
    <t>3574661760650</t>
  </si>
  <si>
    <t>Dầu Gội Pháp Le Petit Marseillais Sạch Gàu 2 In 1 Tinh Dầu Bạc Hà Hữu Cơ Dưỡng Ẩm, Thơm Lâu - Phù Hợp Mọi Loại Da (250ml)</t>
  </si>
  <si>
    <t>3574661574035</t>
  </si>
  <si>
    <t>Dầu Gội Le Petit Marseillais Sạch Gàu Dành Cho Nam Với Chiết Xuất Tinh Dầu Chanh Vàng Hữu Cơ 250ml</t>
  </si>
  <si>
    <t>3574661601496</t>
  </si>
  <si>
    <t>Gel tắm Hữu Cơ Pháp Le Petit Marseillais Nhiều Mùi Hương 250ml, Thơm Lâu - Phù Hợp Mọi Loại Da (250ml)</t>
  </si>
  <si>
    <t>3574661761916</t>
  </si>
  <si>
    <t>Dầu Xả Dưỡng Tóc Le Petit Marseillais Làm Mềm Mượt, Bóng Khỏe Nhanh Với Chiết Xuất Hạnh Nhân Và Hạt Lanh Hữu Cơ 200ml</t>
  </si>
  <si>
    <t>3574661574042</t>
  </si>
  <si>
    <t>3574661700809</t>
  </si>
  <si>
    <t>3251241039787</t>
  </si>
  <si>
    <t>Vỉ 2 Son Dưỡng Môi Thiên Nhiên Le Petit Marseillais siêu cấp ẩm nứt nẻ Bơ Hạt Mỡ, Hạnh Nhân Ngọt &amp; Dầu Argan 2X4.9G 9787</t>
  </si>
  <si>
    <t>3574661700526</t>
  </si>
  <si>
    <t>Sữa Tắm/Gel Tắm Pháp Le Petit Marseillais Thiên Nhiên 250ml - Sữa Tắm Lưu Hương Lành Tính - Dịu Nhẹ, An Toàn Cho Da</t>
  </si>
  <si>
    <t>TOP KHÁCH HÀNG THEO DOANH THU THUẦN</t>
  </si>
  <si>
    <t>Mã KH</t>
  </si>
  <si>
    <t>Tên khách hàng</t>
  </si>
  <si>
    <t>Chứng từ</t>
  </si>
  <si>
    <t>Tăng trưởng</t>
  </si>
  <si>
    <t>Mức KH</t>
  </si>
  <si>
    <t>068191010790</t>
  </si>
  <si>
    <t>Trang Nhã</t>
  </si>
  <si>
    <t>Top 5 toàn MT-GT</t>
  </si>
  <si>
    <t>0109895045</t>
  </si>
  <si>
    <t>CÔNG TY TNHH MỸ PHẨM AN MINH</t>
  </si>
  <si>
    <t>0318504312</t>
  </si>
  <si>
    <t>NAMSAN</t>
  </si>
  <si>
    <t>004195001173</t>
  </si>
  <si>
    <t>LYLY COSMETICS</t>
  </si>
  <si>
    <t>Top 5 trong kênh</t>
  </si>
  <si>
    <t>Benstore</t>
  </si>
  <si>
    <t>Shop Benstore</t>
  </si>
  <si>
    <t>KÊNH MT | SALES &amp; PROFITABILITY DASHBOARD</t>
  </si>
  <si>
    <t>KÊNH MT | Dữ liệu đến 12/07/2026 | MTD: 01/07-12/07 | WTD: 06/07-12/07</t>
  </si>
  <si>
    <t>Doanh thu MTD giảm 68.3% so với cùng kỳ.</t>
  </si>
  <si>
    <t>Kênh đang có lãi, biên lợi nhuận 46.9%.</t>
  </si>
  <si>
    <t>Chi phí lớn nhất: Backoffice fee - 17.4 triệu (15.0% DT thuần).</t>
  </si>
  <si>
    <t>Ads/DT: 0.0%; Tỷ lệ hủy: 0.0%.</t>
  </si>
  <si>
    <t>3574661148441</t>
  </si>
  <si>
    <t>Sữa Tắm Pháp Le Petit Marseillais Quả Mâm Xôi &amp; Hoa Mẫu Đơn Hữu Cơ Dưỡng Ẩm, Thơm Lâu - Phù Hợp Mọi Loại Da (250ml)</t>
  </si>
  <si>
    <t>3574661254463</t>
  </si>
  <si>
    <t>3574661568867</t>
  </si>
  <si>
    <t>3574661701240</t>
  </si>
  <si>
    <t>3574661319308</t>
  </si>
  <si>
    <t>3574661701318</t>
  </si>
  <si>
    <t>Sữa Tắm Dạng Kem Le Petit Marseillais 4 Trong 1 Với Chiết Xuẩt Gỗ Hoàng Đàn Và Khoáng Chất Tươi Mát Dành Cho Cơ Thể, Tóc, Mặt Và Râu 250ml</t>
  </si>
  <si>
    <t>0310618188</t>
  </si>
  <si>
    <t>Guardian</t>
  </si>
  <si>
    <t>0313936573</t>
  </si>
  <si>
    <t>HIMALAYA</t>
  </si>
  <si>
    <t>0311187079</t>
  </si>
  <si>
    <t>AN NAM GOURMET</t>
  </si>
  <si>
    <t>0313612829</t>
  </si>
  <si>
    <t>CÔNG TY CỔ PHẦN HASAKI VIETNAM</t>
  </si>
  <si>
    <t>Nguồn dữ liệu: CEO Growth Package v3.3 | Dữ liệu kênh MT | Thiết kế theo nguyên tắc Power BI &amp; Tableau executive dashboard.</t>
  </si>
  <si>
    <t>KÊNH NHANH.VN | SALES &amp; PROFITABILITY DASHBOARD</t>
  </si>
  <si>
    <t>KÊNH NHANH.VN | Dữ liệu đến 12/07/2026 | MTD: 01/07-12/07 | WTD: 06/07-12/07</t>
  </si>
  <si>
    <t>Doanh thu MTD giảm 22.0% so với cùng kỳ.</t>
  </si>
  <si>
    <t>Kênh đang lỗ, biên lợi nhuận -12.8%.</t>
  </si>
  <si>
    <t>Chi phí lớn nhất: Ads cost - 46.8 triệu (65.6% DT thuần).</t>
  </si>
  <si>
    <t>Ads/DT: 65.6%; Tỷ lệ hủy: 1.2%.</t>
  </si>
  <si>
    <t>Dự báo DT cuối tháng: 0.18 tỷ đồng.</t>
  </si>
  <si>
    <t>Cần kiểm soát</t>
  </si>
  <si>
    <t>3574661701288</t>
  </si>
  <si>
    <t>3574661700557</t>
  </si>
  <si>
    <t>3574661768816</t>
  </si>
  <si>
    <t>ST01868</t>
  </si>
  <si>
    <t>3574661704371</t>
  </si>
  <si>
    <t>ST39109</t>
  </si>
  <si>
    <t>3574661065434</t>
  </si>
  <si>
    <t>KÊNH SHOPEE | SALES &amp; PROFITABILITY DASHBOARD</t>
  </si>
  <si>
    <t>KÊNH SHOPEE | Dữ liệu đến 12/07/2026 | MTD: 01/07-12/07 | WTD: 06/07-12/07</t>
  </si>
  <si>
    <t>Doanh thu MTD tăng 23.1% so với cùng kỳ.</t>
  </si>
  <si>
    <t>Kênh đang có lãi, biên lợi nhuận 12.1%.</t>
  </si>
  <si>
    <t>Chi phí lớn nhất: Platform fees - 185.8 triệu (34.8% DT thuần).</t>
  </si>
  <si>
    <t>Ads/DT: 17.5%; Tỷ lệ hủy: 12.7%.</t>
  </si>
  <si>
    <t>Dự báo DT cuối tháng: 1.38 tỷ đồng.</t>
  </si>
  <si>
    <t>Hoa hồng</t>
  </si>
  <si>
    <t>Trong phí sàn</t>
  </si>
  <si>
    <t>ST00557</t>
  </si>
  <si>
    <t>ST48441</t>
  </si>
  <si>
    <t>KÊNH TIKTOK | SALES &amp; PROFITABILITY DASHBOARD</t>
  </si>
  <si>
    <t>KÊNH TIKTOK | Dữ liệu đến 12/07/2026 | MTD: 01/07-12/07 | WTD: 06/07-12/07</t>
  </si>
  <si>
    <t>Doanh thu MTD giảm 23.1% so với cùng kỳ.</t>
  </si>
  <si>
    <t>Kênh đang có lãi, biên lợi nhuận 2.5%.</t>
  </si>
  <si>
    <t>Chi phí lớn nhất: Platform fees - 41.6 triệu (32.3% DT thuần).</t>
  </si>
  <si>
    <t>Ads/DT: 25.6%; Tỷ lệ hủy: 13.3%.</t>
  </si>
  <si>
    <t>Dự báo DT cuối tháng: 0.33 tỷ đồng.</t>
  </si>
  <si>
    <t>Theo dõi riêng</t>
  </si>
  <si>
    <t>ST01240</t>
  </si>
  <si>
    <t>DG74042</t>
  </si>
  <si>
    <t>Dầu Gội Thiên Nhiên Le Petit Marseillais Nhiều Mùi Hương 250ml Dưỡng Ẩm, Thơm Lâu - Phù Hợp Mọi Loại Da</t>
  </si>
  <si>
    <t>ST06999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</si>
</sst>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0.0%"/>
    <numFmt numFmtId="177" formatCode="0.00,,,&quot; tỷ&quot;;[Red]\(0.00,,,&quot; tỷ)&quot;;\-"/>
    <numFmt numFmtId="178" formatCode="0.0%;[Red]\(0.0%\);\-"/>
    <numFmt numFmtId="179" formatCode="#,##0;[Red]\(#,##0\);\-"/>
    <numFmt numFmtId="180" formatCode="\+0.0%;[Red]\(0.0%\);\-"/>
    <numFmt numFmtId="181" formatCode="dd/mm"/>
  </numFmts>
  <fonts count="37">
    <font>
      <sz val="10"/>
      <name val="Arial"/>
      <charset val="134"/>
    </font>
    <font>
      <b/>
      <sz val="21"/>
      <color rgb="FFFFFFFF"/>
      <name val="Calibri"/>
      <charset val="1"/>
    </font>
    <font>
      <sz val="7"/>
      <color rgb="FFF4F7FB"/>
      <name val="Calibri"/>
      <charset val="1"/>
    </font>
    <font>
      <b/>
      <sz val="9"/>
      <color rgb="FFFFFFFF"/>
      <name val="Calibri"/>
      <charset val="1"/>
    </font>
    <font>
      <b/>
      <sz val="9"/>
      <color rgb="FF16324F"/>
      <name val="Calibri"/>
      <charset val="1"/>
    </font>
    <font>
      <sz val="10"/>
      <color rgb="FF172033"/>
      <name val="Calibri"/>
      <charset val="1"/>
    </font>
    <font>
      <b/>
      <sz val="19"/>
      <color rgb="FF172033"/>
      <name val="Calibri"/>
      <charset val="1"/>
    </font>
    <font>
      <b/>
      <sz val="9"/>
      <color rgb="FF64748B"/>
      <name val="Calibri"/>
      <charset val="1"/>
    </font>
    <font>
      <b/>
      <sz val="11"/>
      <color rgb="FFFFFFFF"/>
      <name val="Calibri"/>
      <charset val="1"/>
    </font>
    <font>
      <b/>
      <sz val="10"/>
      <color rgb="FFFFFFFF"/>
      <name val="Calibri"/>
      <charset val="1"/>
    </font>
    <font>
      <sz val="9"/>
      <color rgb="FF0000FF"/>
      <name val="Calibri"/>
      <charset val="1"/>
    </font>
    <font>
      <sz val="9"/>
      <color rgb="FF172033"/>
      <name val="Calibri"/>
      <charset val="1"/>
    </font>
    <font>
      <b/>
      <sz val="9"/>
      <color rgb="FF172033"/>
      <name val="Calibri"/>
      <charset val="1"/>
    </font>
    <font>
      <b/>
      <sz val="10"/>
      <color rgb="FF172033"/>
      <name val="Calibri"/>
      <charset val="1"/>
    </font>
    <font>
      <sz val="11"/>
      <name val="Calibri"/>
      <charset val="1"/>
    </font>
    <font>
      <sz val="8"/>
      <color rgb="FF64748B"/>
      <name val="Calibri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0B1F33"/>
        <bgColor rgb="FF172033"/>
      </patternFill>
    </fill>
    <fill>
      <patternFill patternType="solid">
        <fgColor rgb="FFF4F7FB"/>
        <bgColor rgb="FFEEF2F7"/>
      </patternFill>
    </fill>
    <fill>
      <patternFill patternType="solid">
        <fgColor rgb="FF16324F"/>
        <bgColor rgb="FF172033"/>
      </patternFill>
    </fill>
    <fill>
      <patternFill patternType="solid">
        <fgColor rgb="FF2F6BFF"/>
        <bgColor rgb="FF0066CC"/>
      </patternFill>
    </fill>
    <fill>
      <patternFill patternType="solid">
        <fgColor rgb="FFEAF1FF"/>
        <bgColor rgb="FFEEF2F7"/>
      </patternFill>
    </fill>
    <fill>
      <patternFill patternType="solid">
        <fgColor rgb="FF111827"/>
        <bgColor rgb="FF0B1F33"/>
      </patternFill>
    </fill>
    <fill>
      <patternFill patternType="solid">
        <fgColor rgb="FFFFFFFF"/>
        <bgColor rgb="FFF4F7FB"/>
      </patternFill>
    </fill>
    <fill>
      <patternFill patternType="solid">
        <fgColor rgb="FFEEF2F7"/>
        <bgColor rgb="FFEAF1FF"/>
      </patternFill>
    </fill>
    <fill>
      <patternFill patternType="solid">
        <fgColor rgb="FFEE4D2D"/>
        <bgColor rgb="FFE97132"/>
      </patternFill>
    </fill>
    <fill>
      <patternFill patternType="solid">
        <fgColor rgb="FFD97706"/>
        <bgColor rgb="FFE97132"/>
      </patternFill>
    </fill>
    <fill>
      <patternFill patternType="solid">
        <fgColor rgb="FF7C3AED"/>
        <bgColor rgb="FF993366"/>
      </patternFill>
    </fill>
    <fill>
      <patternFill patternType="solid">
        <fgColor rgb="FF0F766E"/>
        <bgColor rgb="FF15608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/>
      <right/>
      <top style="thin">
        <color rgb="FFD9E2EC"/>
      </top>
      <bottom style="thin">
        <color rgb="FFD9E2EC"/>
      </bottom>
      <diagonal/>
    </border>
    <border>
      <left/>
      <right style="thin">
        <color rgb="FFD9E2EC"/>
      </right>
      <top style="thin">
        <color rgb="FFD9E2EC"/>
      </top>
      <bottom style="thin">
        <color rgb="FFD9E2E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6" fillId="0" borderId="0"/>
    <xf numFmtId="44" fontId="16" fillId="0" borderId="0"/>
    <xf numFmtId="9" fontId="16" fillId="0" borderId="0"/>
    <xf numFmtId="41" fontId="16" fillId="0" borderId="0"/>
    <xf numFmtId="42" fontId="16" fillId="0" borderId="0"/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14" borderId="4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0" borderId="5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15" borderId="7" applyNumberFormat="0" applyAlignment="0" applyProtection="0">
      <alignment vertical="center"/>
    </xf>
    <xf numFmtId="0" fontId="27" fillId="16" borderId="8" applyNumberFormat="0" applyAlignment="0" applyProtection="0">
      <alignment vertical="center"/>
    </xf>
    <xf numFmtId="0" fontId="28" fillId="16" borderId="7" applyNumberFormat="0" applyAlignment="0" applyProtection="0">
      <alignment vertical="center"/>
    </xf>
    <xf numFmtId="0" fontId="29" fillId="17" borderId="9" applyNumberFormat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</cellStyleXfs>
  <cellXfs count="60">
    <xf numFmtId="0" fontId="0" fillId="0" borderId="0" xfId="0" applyAlignment="1"/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3" fontId="2" fillId="3" borderId="0" xfId="0" applyNumberFormat="1" applyFont="1" applyFill="1" applyAlignment="1">
      <alignment horizontal="left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left" vertical="center"/>
    </xf>
    <xf numFmtId="0" fontId="5" fillId="3" borderId="0" xfId="0" applyFont="1" applyFill="1" applyAlignment="1">
      <alignment horizontal="left" vertical="center"/>
    </xf>
    <xf numFmtId="176" fontId="2" fillId="3" borderId="0" xfId="0" applyNumberFormat="1" applyFont="1" applyFill="1" applyAlignment="1">
      <alignment horizontal="left" vertical="center"/>
    </xf>
    <xf numFmtId="0" fontId="3" fillId="7" borderId="0" xfId="0" applyFont="1" applyFill="1" applyAlignment="1">
      <alignment horizontal="center" vertical="center"/>
    </xf>
    <xf numFmtId="177" fontId="6" fillId="8" borderId="0" xfId="0" applyNumberFormat="1" applyFont="1" applyFill="1" applyAlignment="1">
      <alignment horizontal="center" vertical="center"/>
    </xf>
    <xf numFmtId="178" fontId="6" fillId="8" borderId="0" xfId="0" applyNumberFormat="1" applyFont="1" applyFill="1" applyAlignment="1">
      <alignment horizontal="center" vertical="center"/>
    </xf>
    <xf numFmtId="179" fontId="6" fillId="8" borderId="0" xfId="0" applyNumberFormat="1" applyFont="1" applyFill="1" applyAlignment="1">
      <alignment horizontal="center" vertical="center"/>
    </xf>
    <xf numFmtId="180" fontId="7" fillId="9" borderId="0" xfId="0" applyNumberFormat="1" applyFont="1" applyFill="1" applyAlignment="1">
      <alignment horizontal="center" vertical="center"/>
    </xf>
    <xf numFmtId="177" fontId="7" fillId="9" borderId="0" xfId="0" applyNumberFormat="1" applyFont="1" applyFill="1" applyAlignment="1">
      <alignment horizontal="center" vertical="center"/>
    </xf>
    <xf numFmtId="0" fontId="8" fillId="7" borderId="0" xfId="0" applyFont="1" applyFill="1" applyAlignment="1">
      <alignment horizontal="left" vertical="center"/>
    </xf>
    <xf numFmtId="0" fontId="3" fillId="4" borderId="0" xfId="0" applyFont="1" applyFill="1" applyAlignment="1">
      <alignment horizontal="center" vertical="center" wrapText="1"/>
    </xf>
    <xf numFmtId="0" fontId="9" fillId="4" borderId="0" xfId="0" applyFont="1" applyFill="1" applyAlignment="1">
      <alignment horizontal="left" vertical="center"/>
    </xf>
    <xf numFmtId="0" fontId="10" fillId="8" borderId="0" xfId="0" applyFont="1" applyFill="1" applyAlignment="1">
      <alignment horizontal="left" vertical="center" wrapText="1"/>
    </xf>
    <xf numFmtId="3" fontId="10" fillId="8" borderId="0" xfId="0" applyNumberFormat="1" applyFont="1" applyFill="1" applyAlignment="1">
      <alignment horizontal="right" vertical="center" wrapText="1"/>
    </xf>
    <xf numFmtId="176" fontId="10" fillId="8" borderId="0" xfId="0" applyNumberFormat="1" applyFont="1" applyFill="1" applyAlignment="1">
      <alignment horizontal="right" vertical="center" wrapText="1"/>
    </xf>
    <xf numFmtId="0" fontId="11" fillId="8" borderId="0" xfId="0" applyFont="1" applyFill="1" applyAlignment="1">
      <alignment horizontal="left" vertical="center" wrapText="1"/>
    </xf>
    <xf numFmtId="0" fontId="9" fillId="5" borderId="1" xfId="0" applyFont="1" applyFill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9" fillId="2" borderId="1" xfId="0" applyFont="1" applyFill="1" applyBorder="1" applyAlignment="1">
      <alignment horizontal="center" vertical="center" wrapText="1"/>
    </xf>
    <xf numFmtId="3" fontId="9" fillId="2" borderId="1" xfId="0" applyNumberFormat="1" applyFont="1" applyFill="1" applyBorder="1" applyAlignment="1">
      <alignment horizontal="center" vertical="center" wrapText="1"/>
    </xf>
    <xf numFmtId="176" fontId="9" fillId="2" borderId="1" xfId="0" applyNumberFormat="1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left" vertical="center" wrapText="1"/>
    </xf>
    <xf numFmtId="3" fontId="5" fillId="8" borderId="1" xfId="0" applyNumberFormat="1" applyFont="1" applyFill="1" applyBorder="1" applyAlignment="1">
      <alignment horizontal="right" vertical="center" wrapText="1"/>
    </xf>
    <xf numFmtId="176" fontId="5" fillId="8" borderId="1" xfId="0" applyNumberFormat="1" applyFont="1" applyFill="1" applyBorder="1" applyAlignment="1">
      <alignment horizontal="right" vertical="center" wrapText="1"/>
    </xf>
    <xf numFmtId="0" fontId="12" fillId="6" borderId="0" xfId="0" applyFont="1" applyFill="1" applyAlignment="1">
      <alignment horizontal="left" vertical="center" wrapText="1"/>
    </xf>
    <xf numFmtId="3" fontId="12" fillId="6" borderId="0" xfId="0" applyNumberFormat="1" applyFont="1" applyFill="1" applyAlignment="1">
      <alignment horizontal="right" vertical="center" wrapText="1"/>
    </xf>
    <xf numFmtId="176" fontId="12" fillId="6" borderId="0" xfId="0" applyNumberFormat="1" applyFont="1" applyFill="1" applyAlignment="1">
      <alignment horizontal="right" vertical="center" wrapText="1"/>
    </xf>
    <xf numFmtId="0" fontId="13" fillId="6" borderId="1" xfId="0" applyFont="1" applyFill="1" applyBorder="1" applyAlignment="1">
      <alignment horizontal="left" vertical="center" wrapText="1"/>
    </xf>
    <xf numFmtId="3" fontId="13" fillId="6" borderId="1" xfId="0" applyNumberFormat="1" applyFont="1" applyFill="1" applyBorder="1" applyAlignment="1">
      <alignment horizontal="right" vertical="center" wrapText="1"/>
    </xf>
    <xf numFmtId="176" fontId="13" fillId="6" borderId="1" xfId="0" applyNumberFormat="1" applyFont="1" applyFill="1" applyBorder="1" applyAlignment="1">
      <alignment horizontal="right" vertical="center" wrapText="1"/>
    </xf>
    <xf numFmtId="3" fontId="5" fillId="8" borderId="1" xfId="0" applyNumberFormat="1" applyFont="1" applyFill="1" applyBorder="1" applyAlignment="1">
      <alignment horizontal="left" vertical="center" wrapText="1"/>
    </xf>
    <xf numFmtId="3" fontId="3" fillId="4" borderId="0" xfId="0" applyNumberFormat="1" applyFont="1" applyFill="1" applyAlignment="1">
      <alignment horizontal="center" vertical="center" wrapText="1"/>
    </xf>
    <xf numFmtId="176" fontId="3" fillId="4" borderId="0" xfId="0" applyNumberFormat="1" applyFont="1" applyFill="1" applyAlignment="1">
      <alignment horizontal="center" vertical="center" wrapText="1"/>
    </xf>
    <xf numFmtId="181" fontId="10" fillId="8" borderId="0" xfId="0" applyNumberFormat="1" applyFont="1" applyFill="1" applyAlignment="1">
      <alignment horizontal="right" vertical="center" wrapText="1"/>
    </xf>
    <xf numFmtId="176" fontId="14" fillId="0" borderId="0" xfId="0" applyNumberFormat="1" applyFont="1" applyAlignment="1"/>
    <xf numFmtId="179" fontId="10" fillId="8" borderId="0" xfId="0" applyNumberFormat="1" applyFont="1" applyFill="1" applyAlignment="1">
      <alignment horizontal="right" vertical="center" wrapText="1"/>
    </xf>
    <xf numFmtId="178" fontId="10" fillId="8" borderId="0" xfId="0" applyNumberFormat="1" applyFont="1" applyFill="1" applyAlignment="1">
      <alignment horizontal="right" vertical="center" wrapText="1"/>
    </xf>
    <xf numFmtId="3" fontId="10" fillId="8" borderId="0" xfId="0" applyNumberFormat="1" applyFont="1" applyFill="1" applyAlignment="1">
      <alignment horizontal="center" vertical="center" wrapText="1"/>
    </xf>
    <xf numFmtId="0" fontId="10" fillId="8" borderId="0" xfId="0" applyFont="1" applyFill="1" applyAlignment="1">
      <alignment horizontal="center" vertical="center" wrapText="1"/>
    </xf>
    <xf numFmtId="0" fontId="3" fillId="10" borderId="0" xfId="0" applyFont="1" applyFill="1" applyAlignment="1">
      <alignment horizontal="center" vertical="center"/>
    </xf>
    <xf numFmtId="0" fontId="8" fillId="10" borderId="0" xfId="0" applyFont="1" applyFill="1" applyAlignment="1">
      <alignment horizontal="left" vertical="center"/>
    </xf>
    <xf numFmtId="0" fontId="3" fillId="11" borderId="0" xfId="0" applyFont="1" applyFill="1" applyAlignment="1">
      <alignment horizontal="center" vertical="center"/>
    </xf>
    <xf numFmtId="0" fontId="8" fillId="11" borderId="0" xfId="0" applyFont="1" applyFill="1" applyAlignment="1">
      <alignment horizontal="left" vertical="center"/>
    </xf>
    <xf numFmtId="0" fontId="3" fillId="12" borderId="0" xfId="0" applyFont="1" applyFill="1" applyAlignment="1">
      <alignment horizontal="center" vertical="center"/>
    </xf>
    <xf numFmtId="0" fontId="8" fillId="12" borderId="0" xfId="0" applyFont="1" applyFill="1" applyAlignment="1">
      <alignment horizontal="left" vertical="center"/>
    </xf>
    <xf numFmtId="0" fontId="15" fillId="3" borderId="0" xfId="0" applyFont="1" applyFill="1" applyAlignment="1">
      <alignment horizontal="left" vertical="center"/>
    </xf>
    <xf numFmtId="0" fontId="3" fillId="13" borderId="0" xfId="0" applyFont="1" applyFill="1" applyAlignment="1">
      <alignment horizontal="center" vertical="center"/>
    </xf>
    <xf numFmtId="0" fontId="8" fillId="13" borderId="0" xfId="0" applyFont="1" applyFill="1" applyAlignment="1">
      <alignment horizontal="left" vertical="center"/>
    </xf>
    <xf numFmtId="0" fontId="8" fillId="5" borderId="0" xfId="0" applyFont="1" applyFill="1" applyAlignment="1">
      <alignment horizontal="left" vertical="center"/>
    </xf>
    <xf numFmtId="3" fontId="14" fillId="0" borderId="0" xfId="0" applyNumberFormat="1" applyFont="1" applyAlignment="1"/>
    <xf numFmtId="0" fontId="12" fillId="8" borderId="0" xfId="0" applyFont="1" applyFill="1" applyAlignment="1">
      <alignment horizontal="right" vertical="center" wrapText="1"/>
    </xf>
    <xf numFmtId="0" fontId="8" fillId="4" borderId="0" xfId="0" applyFont="1" applyFill="1" applyAlignment="1">
      <alignment horizontal="left" vertical="center"/>
    </xf>
    <xf numFmtId="0" fontId="5" fillId="8" borderId="0" xfId="0" applyFont="1" applyFill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1">
    <dxf>
      <font>
        <b val="1"/>
        <color rgb="FFDC2626"/>
      </font>
      <fill>
        <patternFill patternType="solid">
          <bgColor rgb="FFFDECEC"/>
        </patternFill>
      </fill>
    </dxf>
    <dxf>
      <font>
        <b val="1"/>
        <color rgb="FF16A34A"/>
      </font>
      <fill>
        <patternFill patternType="solid">
          <bgColor rgb="FFEAF8F1"/>
        </patternFill>
      </fill>
    </dxf>
    <dxf>
      <font>
        <b val="1"/>
        <color rgb="FFD97706"/>
      </font>
      <fill>
        <patternFill patternType="solid">
          <bgColor rgb="FFFFF5E5"/>
        </patternFill>
      </fill>
    </dxf>
    <dxf>
      <font>
        <b val="1"/>
        <color rgb="FFDC2626"/>
      </font>
      <fill>
        <patternFill patternType="solid">
          <bgColor rgb="FFFDECEC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0"/>
      <tableStyleElement type="headerRow" dxfId="9"/>
      <tableStyleElement type="totalRow" dxfId="8"/>
      <tableStyleElement type="firstColumn" dxfId="7"/>
      <tableStyleElement type="lastColumn" dxfId="6"/>
      <tableStyleElement type="firstRowStripe" dxfId="5"/>
      <tableStyleElement type="firstColumnStripe" dxfId="4"/>
    </tableStyle>
    <tableStyle name="PivotStylePreset2_Accent1" table="0" count="10" xr9:uid="{267968C8-6FFD-4C36-ACC1-9EA1FD1885CA}">
      <tableStyleElement type="headerRow" dxfId="20"/>
      <tableStyleElement type="totalRow" dxfId="19"/>
      <tableStyleElement type="firstRowStripe" dxfId="18"/>
      <tableStyleElement type="firstColumnStripe" dxfId="17"/>
      <tableStyleElement type="firstSubtotalRow" dxfId="16"/>
      <tableStyleElement type="secondSubtotalRow" dxfId="15"/>
      <tableStyleElement type="firstRowSubheading" dxfId="14"/>
      <tableStyleElement type="secondRowSubheading" dxfId="13"/>
      <tableStyleElement type="pageFieldLabels" dxfId="12"/>
      <tableStyleElement type="pageFieldValues" dxfId="1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196B24"/>
      <rgbColor rgb="00000080"/>
      <rgbColor rgb="00808000"/>
      <rgbColor rgb="00800080"/>
      <rgbColor rgb="000F766E"/>
      <rgbColor rgb="00CCCCCC"/>
      <rgbColor rgb="00808080"/>
      <rgbColor rgb="009999FF"/>
      <rgbColor rgb="007C3AED"/>
      <rgbColor rgb="00FFF5E5"/>
      <rgbColor rgb="00EAF8F1"/>
      <rgbColor rgb="00660066"/>
      <rgbColor rgb="00EE4D2D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156082"/>
      <rgbColor rgb="000000FF"/>
      <rgbColor rgb="000F9ED5"/>
      <rgbColor rgb="00EAF1FF"/>
      <rgbColor rgb="00EEF2F7"/>
      <rgbColor rgb="00FDECEC"/>
      <rgbColor rgb="00F4F7FB"/>
      <rgbColor rgb="00FF99CC"/>
      <rgbColor rgb="00CC99FF"/>
      <rgbColor rgb="00D9E2EC"/>
      <rgbColor rgb="002F6BFF"/>
      <rgbColor rgb="0033CCCC"/>
      <rgbColor rgb="0099CC00"/>
      <rgbColor rgb="00FFCC00"/>
      <rgbColor rgb="00D97706"/>
      <rgbColor rgb="00E97132"/>
      <rgbColor rgb="0064748B"/>
      <rgbColor rgb="00969696"/>
      <rgbColor rgb="0016324F"/>
      <rgbColor rgb="0016A34A"/>
      <rgbColor rgb="000B1F33"/>
      <rgbColor rgb="00111827"/>
      <rgbColor rgb="00993300"/>
      <rgbColor rgb="00993366"/>
      <rgbColor rgb="00333399"/>
      <rgbColor rgb="001720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300" b="0" i="0" u="none" strike="noStrike" kern="1200" baseline="0">
                <a:solidFill>
                  <a:schemeClr val="tx1"/>
                </a:solidFill>
                <a:uFillTx/>
                <a:latin typeface="Arial" panose="020B0604020202020204"/>
                <a:ea typeface="+mn-ea"/>
                <a:cs typeface="+mn-cs"/>
              </a:defRPr>
            </a:pPr>
            <a:r>
              <a:rPr sz="1800" b="1" strike="noStrike">
                <a:solidFill>
                  <a:srgbClr val="000000"/>
                </a:solidFill>
                <a:uFillTx/>
                <a:latin typeface="Calibri" panose="020F0502020204030204"/>
                <a:ea typeface="Calibri" panose="020F0502020204030204"/>
              </a:rPr>
              <a:t>Doanh thu thuần theo ngày: hiện tại vs kỳ trước</a:t>
            </a:r>
            <a:endParaRPr sz="1800" b="1" strike="noStrike">
              <a:solidFill>
                <a:srgbClr val="000000"/>
              </a:solidFill>
              <a:uFillTx/>
              <a:latin typeface="Calibri" panose="020F0502020204030204"/>
              <a:ea typeface="Calibri" panose="020F0502020204030204"/>
            </a:endParaRPr>
          </a:p>
        </c:rich>
      </c:tx>
      <c:layout/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"Hiện tại"</c:f>
              <c:strCache>
                <c:ptCount val="1"/>
                <c:pt idx="0">
                  <c:v>Hiện tại</c:v>
                </c:pt>
              </c:strCache>
            </c:strRef>
          </c:tx>
          <c:spPr>
            <a:ln w="12600" cap="rnd">
              <a:solidFill>
                <a:srgbClr val="156082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rgbClr val="000000"/>
                    </a:solidFill>
                    <a:uFillTx/>
                    <a:latin typeface="Calibri" panose="020F0502020204030204"/>
                    <a:ea typeface="Calibri" panose="020F0502020204030204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'00_Tong_quan'!$A$75:$A$102</c:f>
              <c:strCache>
                <c:ptCount val="12"/>
                <c:pt idx="0" c:formatCode="dd/mm">
                  <c:v>01/07</c:v>
                </c:pt>
                <c:pt idx="1" c:formatCode="dd/mm">
                  <c:v>02/07</c:v>
                </c:pt>
                <c:pt idx="2" c:formatCode="dd/mm">
                  <c:v>03/07</c:v>
                </c:pt>
                <c:pt idx="3" c:formatCode="dd/mm">
                  <c:v>04/07</c:v>
                </c:pt>
                <c:pt idx="4" c:formatCode="dd/mm">
                  <c:v>05/07</c:v>
                </c:pt>
                <c:pt idx="5" c:formatCode="dd/mm">
                  <c:v>06/07</c:v>
                </c:pt>
                <c:pt idx="6" c:formatCode="dd/mm">
                  <c:v>07/07</c:v>
                </c:pt>
                <c:pt idx="7" c:formatCode="dd/mm">
                  <c:v>08/07</c:v>
                </c:pt>
                <c:pt idx="8" c:formatCode="dd/mm">
                  <c:v>09/07</c:v>
                </c:pt>
                <c:pt idx="9" c:formatCode="dd/mm">
                  <c:v>10/07</c:v>
                </c:pt>
                <c:pt idx="10" c:formatCode="dd/mm">
                  <c:v>11/07</c:v>
                </c:pt>
                <c:pt idx="11" c:formatCode="dd/mm">
                  <c:v>12/07</c:v>
                </c:pt>
              </c:strCache>
            </c:strRef>
          </c:cat>
          <c:val>
            <c:numRef>
              <c:f>'00_Tong_quan'!$B$75:$B$102</c:f>
              <c:numCache>
                <c:formatCode>#,##0</c:formatCode>
                <c:ptCount val="12"/>
                <c:pt idx="0">
                  <c:v>57373150</c:v>
                </c:pt>
                <c:pt idx="1">
                  <c:v>109913515</c:v>
                </c:pt>
                <c:pt idx="2">
                  <c:v>44205000</c:v>
                </c:pt>
                <c:pt idx="3">
                  <c:v>37429000</c:v>
                </c:pt>
                <c:pt idx="4">
                  <c:v>45651000</c:v>
                </c:pt>
                <c:pt idx="5">
                  <c:v>129120167</c:v>
                </c:pt>
                <c:pt idx="6">
                  <c:v>202276634</c:v>
                </c:pt>
                <c:pt idx="7">
                  <c:v>117354960</c:v>
                </c:pt>
                <c:pt idx="8">
                  <c:v>62842000</c:v>
                </c:pt>
                <c:pt idx="9">
                  <c:v>64433000</c:v>
                </c:pt>
                <c:pt idx="10">
                  <c:v>40219000</c:v>
                </c:pt>
                <c:pt idx="11">
                  <c:v>53590000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"Kỳ trước"</c:f>
              <c:strCache>
                <c:ptCount val="1"/>
                <c:pt idx="0">
                  <c:v>Kỳ trước</c:v>
                </c:pt>
              </c:strCache>
            </c:strRef>
          </c:tx>
          <c:spPr>
            <a:ln w="12600" cap="rnd">
              <a:solidFill>
                <a:srgbClr val="E97132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rgbClr val="000000"/>
                    </a:solidFill>
                    <a:uFillTx/>
                    <a:latin typeface="Calibri" panose="020F0502020204030204"/>
                    <a:ea typeface="Calibri" panose="020F0502020204030204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'00_Tong_quan'!$A$75:$A$102</c:f>
              <c:strCache>
                <c:ptCount val="12"/>
                <c:pt idx="0" c:formatCode="dd/mm">
                  <c:v>01/07</c:v>
                </c:pt>
                <c:pt idx="1" c:formatCode="dd/mm">
                  <c:v>02/07</c:v>
                </c:pt>
                <c:pt idx="2" c:formatCode="dd/mm">
                  <c:v>03/07</c:v>
                </c:pt>
                <c:pt idx="3" c:formatCode="dd/mm">
                  <c:v>04/07</c:v>
                </c:pt>
                <c:pt idx="4" c:formatCode="dd/mm">
                  <c:v>05/07</c:v>
                </c:pt>
                <c:pt idx="5" c:formatCode="dd/mm">
                  <c:v>06/07</c:v>
                </c:pt>
                <c:pt idx="6" c:formatCode="dd/mm">
                  <c:v>07/07</c:v>
                </c:pt>
                <c:pt idx="7" c:formatCode="dd/mm">
                  <c:v>08/07</c:v>
                </c:pt>
                <c:pt idx="8" c:formatCode="dd/mm">
                  <c:v>09/07</c:v>
                </c:pt>
                <c:pt idx="9" c:formatCode="dd/mm">
                  <c:v>10/07</c:v>
                </c:pt>
                <c:pt idx="10" c:formatCode="dd/mm">
                  <c:v>11/07</c:v>
                </c:pt>
                <c:pt idx="11" c:formatCode="dd/mm">
                  <c:v>12/07</c:v>
                </c:pt>
              </c:strCache>
            </c:strRef>
          </c:cat>
          <c:val>
            <c:numRef>
              <c:f>'00_Tong_quan'!$C$75:$C$102</c:f>
              <c:numCache>
                <c:formatCode>#,##0</c:formatCode>
                <c:ptCount val="12"/>
                <c:pt idx="0">
                  <c:v>80380749</c:v>
                </c:pt>
                <c:pt idx="1">
                  <c:v>63735696</c:v>
                </c:pt>
                <c:pt idx="2">
                  <c:v>380076258</c:v>
                </c:pt>
                <c:pt idx="3">
                  <c:v>40173599</c:v>
                </c:pt>
                <c:pt idx="4">
                  <c:v>89750758</c:v>
                </c:pt>
                <c:pt idx="5">
                  <c:v>164307301</c:v>
                </c:pt>
                <c:pt idx="6">
                  <c:v>48792754</c:v>
                </c:pt>
                <c:pt idx="7">
                  <c:v>47452300</c:v>
                </c:pt>
                <c:pt idx="8">
                  <c:v>46769100</c:v>
                </c:pt>
                <c:pt idx="9">
                  <c:v>68815177</c:v>
                </c:pt>
                <c:pt idx="10">
                  <c:v>43884600</c:v>
                </c:pt>
                <c:pt idx="11">
                  <c:v>44491800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1"/>
        </c:dLbls>
        <c:hiLowLines>
          <c:spPr>
            <a:ln w="0">
              <a:noFill/>
              <a:prstDash val="solid"/>
              <a:round/>
            </a:ln>
          </c:spPr>
        </c:hiLowLines>
        <c:marker val="0"/>
        <c:smooth val="0"/>
        <c:axId val="78478846"/>
        <c:axId val="68477907"/>
      </c:lineChart>
      <c:catAx>
        <c:axId val="78478846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D9E2EC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600" b="0" i="0" u="none" strike="noStrike" kern="1200" baseline="0">
                <a:solidFill>
                  <a:srgbClr val="000000"/>
                </a:solidFill>
                <a:uFillTx/>
                <a:latin typeface="Calibri" panose="020F0502020204030204"/>
                <a:ea typeface="Calibri" panose="020F0502020204030204"/>
                <a:cs typeface="+mn-cs"/>
              </a:defRPr>
            </a:pPr>
          </a:p>
        </c:txPr>
        <c:crossAx val="68477907"/>
        <c:crosses val="autoZero"/>
        <c:auto val="1"/>
        <c:lblAlgn val="ctr"/>
        <c:lblOffset val="100"/>
        <c:noMultiLvlLbl val="0"/>
      </c:catAx>
      <c:valAx>
        <c:axId val="68477907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0.0,,&quot; tr&quot;;[Red]\(0.0,,&quot; tr)&quot;;\-" sourceLinked="0"/>
        <c:majorTickMark val="none"/>
        <c:minorTickMark val="none"/>
        <c:tickLblPos val="nextTo"/>
        <c:spPr>
          <a:ln w="9360">
            <a:solidFill>
              <a:srgbClr val="D9E2EC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600" b="0" i="0" u="none" strike="noStrike" kern="1200" baseline="0">
                <a:solidFill>
                  <a:srgbClr val="000000"/>
                </a:solidFill>
                <a:uFillTx/>
                <a:latin typeface="Calibri" panose="020F0502020204030204"/>
                <a:ea typeface="Calibri" panose="020F0502020204030204"/>
                <a:cs typeface="+mn-cs"/>
              </a:defRPr>
            </a:pPr>
          </a:p>
        </c:txPr>
        <c:crossAx val="78478846"/>
        <c:crosses val="autoZero"/>
        <c:crossBetween val="between"/>
      </c:valAx>
    </c:plotArea>
    <c:legend>
      <c:legendPos val="b"/>
      <c:layout/>
      <c:overlay val="0"/>
      <c:spPr>
        <a:noFill/>
        <a:ln w="0">
          <a:noFill/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rgbClr val="000000"/>
              </a:solidFill>
              <a:uFillTx/>
              <a:latin typeface="Calibri" panose="020F0502020204030204"/>
              <a:ea typeface="Calibri" panose="020F0502020204030204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65c9bef-6224-40ad-abd2-608a73efc5ef}"/>
      </c:ext>
    </c:extLst>
  </c:chart>
  <c:spPr>
    <a:ln w="9360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300" b="0" i="0" u="none" strike="noStrike" kern="1200" baseline="0">
                <a:solidFill>
                  <a:schemeClr val="tx1"/>
                </a:solidFill>
                <a:uFillTx/>
                <a:latin typeface="Arial" panose="020B0604020202020204"/>
                <a:ea typeface="+mn-ea"/>
                <a:cs typeface="+mn-cs"/>
              </a:defRPr>
            </a:pPr>
            <a:r>
              <a:rPr sz="1800" b="1" strike="noStrike">
                <a:solidFill>
                  <a:srgbClr val="000000"/>
                </a:solidFill>
                <a:uFillTx/>
                <a:latin typeface="Calibri" panose="020F0502020204030204"/>
                <a:ea typeface="Calibri" panose="020F0502020204030204"/>
              </a:rPr>
              <a:t>Doanh thu thuần theo kênh</a:t>
            </a:r>
            <a:endParaRPr sz="1800" b="1" strike="noStrike">
              <a:solidFill>
                <a:srgbClr val="000000"/>
              </a:solidFill>
              <a:uFillTx/>
              <a:latin typeface="Calibri" panose="020F0502020204030204"/>
              <a:ea typeface="Calibri" panose="020F0502020204030204"/>
            </a:endParaRPr>
          </a:p>
        </c:rich>
      </c:tx>
      <c:layout/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"Doanh thu"</c:f>
              <c:strCache>
                <c:ptCount val="1"/>
                <c:pt idx="0">
                  <c:v>Doanh thu</c:v>
                </c:pt>
              </c:strCache>
            </c:strRef>
          </c:tx>
          <c:spPr>
            <a:ln w="1260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rgbClr val="000000"/>
                    </a:solidFill>
                    <a:uFillTx/>
                    <a:latin typeface="Calibri" panose="020F0502020204030204"/>
                    <a:ea typeface="Calibri" panose="020F0502020204030204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'00_Tong_quan'!$A$51:$A$55</c:f>
              <c:strCache>
                <c:ptCount val="5"/>
                <c:pt idx="0">
                  <c:v>GT</c:v>
                </c:pt>
                <c:pt idx="1">
                  <c:v>MT</c:v>
                </c:pt>
                <c:pt idx="2">
                  <c:v>NHANH</c:v>
                </c:pt>
                <c:pt idx="3">
                  <c:v>SHOPEE</c:v>
                </c:pt>
                <c:pt idx="4">
                  <c:v>TIKTOK</c:v>
                </c:pt>
              </c:strCache>
            </c:strRef>
          </c:cat>
          <c:val>
            <c:numRef>
              <c:f>'00_Tong_quan'!$B$51:$B$55</c:f>
              <c:numCache>
                <c:formatCode>#,##0</c:formatCode>
                <c:ptCount val="5"/>
                <c:pt idx="0">
                  <c:v>114446880</c:v>
                </c:pt>
                <c:pt idx="1">
                  <c:v>116054912</c:v>
                </c:pt>
                <c:pt idx="2">
                  <c:v>71328000</c:v>
                </c:pt>
                <c:pt idx="3">
                  <c:v>534034024</c:v>
                </c:pt>
                <c:pt idx="4">
                  <c:v>128543610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1"/>
        </c:dLbls>
        <c:gapWidth val="150"/>
        <c:overlap val="0"/>
        <c:axId val="92116763"/>
        <c:axId val="14762805"/>
      </c:barChart>
      <c:catAx>
        <c:axId val="92116763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D9E2EC"/>
            </a:solidFill>
            <a:prstDash val="solid"/>
            <a:round/>
          </a:ln>
        </c:spPr>
        <c:txPr>
          <a:bodyPr rot="-1500000" spcFirstLastPara="0" vertOverflow="ellipsis" vert="horz" wrap="square" anchor="ctr" anchorCtr="1"/>
          <a:lstStyle/>
          <a:p>
            <a:pPr>
              <a:defRPr lang="en-US" sz="600" b="0" i="0" u="none" strike="noStrike" kern="1200" baseline="0">
                <a:solidFill>
                  <a:srgbClr val="000000"/>
                </a:solidFill>
                <a:uFillTx/>
                <a:latin typeface="Calibri" panose="020F0502020204030204"/>
                <a:ea typeface="Calibri" panose="020F0502020204030204"/>
                <a:cs typeface="+mn-cs"/>
              </a:defRPr>
            </a:pPr>
          </a:p>
        </c:txPr>
        <c:crossAx val="14762805"/>
        <c:crosses val="autoZero"/>
        <c:auto val="1"/>
        <c:lblAlgn val="ctr"/>
        <c:lblOffset val="100"/>
        <c:noMultiLvlLbl val="0"/>
      </c:catAx>
      <c:valAx>
        <c:axId val="14762805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0.0,,&quot; tr&quot;;[Red]\(0.0,,&quot; tr)&quot;;\-" sourceLinked="0"/>
        <c:majorTickMark val="none"/>
        <c:minorTickMark val="none"/>
        <c:tickLblPos val="nextTo"/>
        <c:spPr>
          <a:ln w="9360">
            <a:solidFill>
              <a:srgbClr val="D9E2EC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600" b="0" i="0" u="none" strike="noStrike" kern="1200" baseline="0">
                <a:solidFill>
                  <a:srgbClr val="000000"/>
                </a:solidFill>
                <a:uFillTx/>
                <a:latin typeface="Calibri" panose="020F0502020204030204"/>
                <a:ea typeface="Calibri" panose="020F0502020204030204"/>
                <a:cs typeface="+mn-cs"/>
              </a:defRPr>
            </a:pPr>
          </a:p>
        </c:txPr>
        <c:crossAx val="92116763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e28c083a-18da-4359-bdf6-b0bf0dd66b45}"/>
      </c:ext>
    </c:extLst>
  </c:chart>
  <c:spPr>
    <a:ln w="9360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300" b="0" i="0" u="none" strike="noStrike" kern="1200" baseline="0">
                <a:solidFill>
                  <a:schemeClr val="tx1"/>
                </a:solidFill>
                <a:uFillTx/>
                <a:latin typeface="Arial" panose="020B0604020202020204"/>
                <a:ea typeface="+mn-ea"/>
                <a:cs typeface="+mn-cs"/>
              </a:defRPr>
            </a:pPr>
            <a:r>
              <a:rPr sz="1800" b="1" strike="noStrike">
                <a:solidFill>
                  <a:srgbClr val="000000"/>
                </a:solidFill>
                <a:uFillTx/>
                <a:latin typeface="Calibri" panose="020F0502020204030204"/>
                <a:ea typeface="Calibri" panose="020F0502020204030204"/>
              </a:rPr>
              <a:t>Lợi nhuận theo kênh</a:t>
            </a:r>
            <a:endParaRPr sz="1800" b="1" strike="noStrike">
              <a:solidFill>
                <a:srgbClr val="000000"/>
              </a:solidFill>
              <a:uFillTx/>
              <a:latin typeface="Calibri" panose="020F0502020204030204"/>
              <a:ea typeface="Calibri" panose="020F0502020204030204"/>
            </a:endParaRPr>
          </a:p>
        </c:rich>
      </c:tx>
      <c:layout/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"Lợi nhuận"</c:f>
              <c:strCache>
                <c:ptCount val="1"/>
                <c:pt idx="0">
                  <c:v>Lợi nhuận</c:v>
                </c:pt>
              </c:strCache>
            </c:strRef>
          </c:tx>
          <c:spPr>
            <a:ln w="1260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rgbClr val="000000"/>
                    </a:solidFill>
                    <a:uFillTx/>
                    <a:latin typeface="Calibri" panose="020F0502020204030204"/>
                    <a:ea typeface="Calibri" panose="020F0502020204030204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'00_Tong_quan'!$A$51:$A$55</c:f>
              <c:strCache>
                <c:ptCount val="5"/>
                <c:pt idx="0">
                  <c:v>GT</c:v>
                </c:pt>
                <c:pt idx="1">
                  <c:v>MT</c:v>
                </c:pt>
                <c:pt idx="2">
                  <c:v>NHANH</c:v>
                </c:pt>
                <c:pt idx="3">
                  <c:v>SHOPEE</c:v>
                </c:pt>
                <c:pt idx="4">
                  <c:v>TIKTOK</c:v>
                </c:pt>
              </c:strCache>
            </c:strRef>
          </c:cat>
          <c:val>
            <c:numRef>
              <c:f>'00_Tong_quan'!$D$51:$D$55</c:f>
              <c:numCache>
                <c:formatCode>#,##0</c:formatCode>
                <c:ptCount val="5"/>
                <c:pt idx="0">
                  <c:v>32188299.34</c:v>
                </c:pt>
                <c:pt idx="1">
                  <c:v>54392782.51</c:v>
                </c:pt>
                <c:pt idx="2">
                  <c:v>-9163732.97</c:v>
                </c:pt>
                <c:pt idx="3">
                  <c:v>64877744.7</c:v>
                </c:pt>
                <c:pt idx="4">
                  <c:v>3242174.03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1"/>
        </c:dLbls>
        <c:gapWidth val="150"/>
        <c:overlap val="0"/>
        <c:axId val="53134357"/>
        <c:axId val="47520713"/>
      </c:barChart>
      <c:catAx>
        <c:axId val="53134357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D9E2EC"/>
            </a:solidFill>
            <a:prstDash val="solid"/>
            <a:round/>
          </a:ln>
        </c:spPr>
        <c:txPr>
          <a:bodyPr rot="-1500000" spcFirstLastPara="0" vertOverflow="ellipsis" vert="horz" wrap="square" anchor="ctr" anchorCtr="1"/>
          <a:lstStyle/>
          <a:p>
            <a:pPr>
              <a:defRPr lang="en-US" sz="600" b="0" i="0" u="none" strike="noStrike" kern="1200" baseline="0">
                <a:solidFill>
                  <a:srgbClr val="000000"/>
                </a:solidFill>
                <a:uFillTx/>
                <a:latin typeface="Calibri" panose="020F0502020204030204"/>
                <a:ea typeface="Calibri" panose="020F0502020204030204"/>
                <a:cs typeface="+mn-cs"/>
              </a:defRPr>
            </a:pPr>
          </a:p>
        </c:txPr>
        <c:crossAx val="47520713"/>
        <c:crosses val="autoZero"/>
        <c:auto val="1"/>
        <c:lblAlgn val="ctr"/>
        <c:lblOffset val="100"/>
        <c:noMultiLvlLbl val="0"/>
      </c:catAx>
      <c:valAx>
        <c:axId val="47520713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0.0,,&quot; tr&quot;;[Red]\(0.0,,&quot; tr)&quot;;\-" sourceLinked="0"/>
        <c:majorTickMark val="none"/>
        <c:minorTickMark val="none"/>
        <c:tickLblPos val="nextTo"/>
        <c:spPr>
          <a:ln w="9360">
            <a:solidFill>
              <a:srgbClr val="D9E2EC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600" b="0" i="0" u="none" strike="noStrike" kern="1200" baseline="0">
                <a:solidFill>
                  <a:srgbClr val="000000"/>
                </a:solidFill>
                <a:uFillTx/>
                <a:latin typeface="Calibri" panose="020F0502020204030204"/>
                <a:ea typeface="Calibri" panose="020F0502020204030204"/>
                <a:cs typeface="+mn-cs"/>
              </a:defRPr>
            </a:pPr>
          </a:p>
        </c:txPr>
        <c:crossAx val="53134357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a92ed97b-950f-4907-ae93-ddf5269e4538}"/>
      </c:ext>
    </c:extLst>
  </c:chart>
  <c:spPr>
    <a:ln w="9360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300" b="0" i="0" u="none" strike="noStrike" kern="1200" baseline="0">
                <a:solidFill>
                  <a:schemeClr val="tx1"/>
                </a:solidFill>
                <a:uFillTx/>
                <a:latin typeface="Arial" panose="020B0604020202020204"/>
                <a:ea typeface="+mn-ea"/>
                <a:cs typeface="+mn-cs"/>
              </a:defRPr>
            </a:pPr>
            <a:r>
              <a:rPr sz="1800" b="1" strike="noStrike">
                <a:solidFill>
                  <a:srgbClr val="000000"/>
                </a:solidFill>
                <a:uFillTx/>
                <a:latin typeface="Calibri" panose="020F0502020204030204"/>
                <a:ea typeface="Calibri" panose="020F0502020204030204"/>
              </a:rPr>
              <a:t>Cơ cấu chi phí tháng</a:t>
            </a:r>
            <a:endParaRPr sz="1800" b="1" strike="noStrike">
              <a:solidFill>
                <a:srgbClr val="000000"/>
              </a:solidFill>
              <a:uFillTx/>
              <a:latin typeface="Calibri" panose="020F0502020204030204"/>
              <a:ea typeface="Calibri" panose="020F0502020204030204"/>
            </a:endParaRPr>
          </a:p>
        </c:rich>
      </c:tx>
      <c:layout/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"Chi phí"</c:f>
              <c:strCache>
                <c:ptCount val="1"/>
                <c:pt idx="0">
                  <c:v>Chi phí</c:v>
                </c:pt>
              </c:strCache>
            </c:strRef>
          </c:tx>
          <c:spPr>
            <a:ln w="1260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rgbClr val="000000"/>
                    </a:solidFill>
                    <a:uFillTx/>
                    <a:latin typeface="Calibri" panose="020F0502020204030204"/>
                    <a:ea typeface="Calibri" panose="020F0502020204030204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'00_Tong_quan'!$H$75:$H$81</c:f>
              <c:strCache>
                <c:ptCount val="7"/>
                <c:pt idx="0">
                  <c:v>Platform fees</c:v>
                </c:pt>
                <c:pt idx="1">
                  <c:v>Ads cost</c:v>
                </c:pt>
                <c:pt idx="2">
                  <c:v>Backoffice fee</c:v>
                </c:pt>
                <c:pt idx="3">
                  <c:v>Packaging cost</c:v>
                </c:pt>
                <c:pt idx="4">
                  <c:v>Shipping / return fee</c:v>
                </c:pt>
                <c:pt idx="5">
                  <c:v>Live cost</c:v>
                </c:pt>
                <c:pt idx="6">
                  <c:v>Booking fee</c:v>
                </c:pt>
              </c:strCache>
            </c:strRef>
          </c:cat>
          <c:val>
            <c:numRef>
              <c:f>'00_Tong_quan'!$I$75:$I$81</c:f>
              <c:numCache>
                <c:formatCode>#,##0</c:formatCode>
                <c:ptCount val="7"/>
                <c:pt idx="0">
                  <c:v>227416449</c:v>
                </c:pt>
                <c:pt idx="1">
                  <c:v>175147638</c:v>
                </c:pt>
                <c:pt idx="2">
                  <c:v>111155007.85</c:v>
                </c:pt>
                <c:pt idx="3">
                  <c:v>8718000</c:v>
                </c:pt>
                <c:pt idx="4">
                  <c:v>6284817.84</c:v>
                </c:pt>
                <c:pt idx="5">
                  <c:v>2722500</c:v>
                </c:pt>
                <c:pt idx="6">
                  <c:v>111888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1"/>
        </c:dLbls>
        <c:gapWidth val="150"/>
        <c:overlap val="0"/>
        <c:axId val="89611140"/>
        <c:axId val="56895349"/>
      </c:barChart>
      <c:catAx>
        <c:axId val="89611140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D9E2EC"/>
            </a:solidFill>
            <a:prstDash val="solid"/>
            <a:round/>
          </a:ln>
        </c:spPr>
        <c:txPr>
          <a:bodyPr rot="-1500000" spcFirstLastPara="0" vertOverflow="ellipsis" vert="horz" wrap="square" anchor="ctr" anchorCtr="1"/>
          <a:lstStyle/>
          <a:p>
            <a:pPr>
              <a:defRPr lang="en-US" sz="600" b="0" i="0" u="none" strike="noStrike" kern="1200" baseline="0">
                <a:solidFill>
                  <a:srgbClr val="000000"/>
                </a:solidFill>
                <a:uFillTx/>
                <a:latin typeface="Calibri" panose="020F0502020204030204"/>
                <a:ea typeface="Calibri" panose="020F0502020204030204"/>
                <a:cs typeface="+mn-cs"/>
              </a:defRPr>
            </a:pPr>
          </a:p>
        </c:txPr>
        <c:crossAx val="56895349"/>
        <c:crosses val="autoZero"/>
        <c:auto val="1"/>
        <c:lblAlgn val="ctr"/>
        <c:lblOffset val="100"/>
        <c:noMultiLvlLbl val="0"/>
      </c:catAx>
      <c:valAx>
        <c:axId val="56895349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0.0,,&quot; tr&quot;;[Red]\(0.0,,&quot; tr)&quot;;\-" sourceLinked="0"/>
        <c:majorTickMark val="none"/>
        <c:minorTickMark val="none"/>
        <c:tickLblPos val="nextTo"/>
        <c:spPr>
          <a:ln w="9360">
            <a:solidFill>
              <a:srgbClr val="D9E2EC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600" b="0" i="0" u="none" strike="noStrike" kern="1200" baseline="0">
                <a:solidFill>
                  <a:srgbClr val="000000"/>
                </a:solidFill>
                <a:uFillTx/>
                <a:latin typeface="Calibri" panose="020F0502020204030204"/>
                <a:ea typeface="Calibri" panose="020F0502020204030204"/>
                <a:cs typeface="+mn-cs"/>
              </a:defRPr>
            </a:pPr>
          </a:p>
        </c:txPr>
        <c:crossAx val="8961114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fda2c647-7d4d-4007-bd1d-be8008bb010c}"/>
      </c:ext>
    </c:extLst>
  </c:chart>
  <c:spPr>
    <a:ln w="9360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300" b="0" i="0" u="none" strike="noStrike" kern="1200" baseline="0">
                <a:solidFill>
                  <a:schemeClr val="tx1"/>
                </a:solidFill>
                <a:uFillTx/>
                <a:latin typeface="Arial" panose="020B0604020202020204"/>
                <a:ea typeface="+mn-ea"/>
                <a:cs typeface="+mn-cs"/>
              </a:defRPr>
            </a:pPr>
            <a:r>
              <a:rPr sz="1800" b="1" strike="noStrike">
                <a:solidFill>
                  <a:srgbClr val="000000"/>
                </a:solidFill>
                <a:uFillTx/>
                <a:latin typeface="Calibri" panose="020F0502020204030204"/>
                <a:ea typeface="Calibri" panose="020F0502020204030204"/>
              </a:rPr>
              <a:t>Doanh thu thuần theo ngày: hiện tại vs kỳ trước</a:t>
            </a:r>
            <a:endParaRPr sz="1800" b="1" strike="noStrike">
              <a:solidFill>
                <a:srgbClr val="000000"/>
              </a:solidFill>
              <a:uFillTx/>
              <a:latin typeface="Calibri" panose="020F0502020204030204"/>
              <a:ea typeface="Calibri" panose="020F0502020204030204"/>
            </a:endParaRPr>
          </a:p>
        </c:rich>
      </c:tx>
      <c:layout/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"Hiện tại"</c:f>
              <c:strCache>
                <c:ptCount val="1"/>
                <c:pt idx="0">
                  <c:v>Hiện tại</c:v>
                </c:pt>
              </c:strCache>
            </c:strRef>
          </c:tx>
          <c:spPr>
            <a:ln w="12600" cap="rnd">
              <a:solidFill>
                <a:srgbClr val="156082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rgbClr val="000000"/>
                    </a:solidFill>
                    <a:uFillTx/>
                    <a:latin typeface="Calibri" panose="020F0502020204030204"/>
                    <a:ea typeface="Calibri" panose="020F0502020204030204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'01_GT'!$A$70:$A$97</c:f>
              <c:strCache>
                <c:ptCount val="12"/>
                <c:pt idx="0" c:formatCode="dd/mm">
                  <c:v>01/07</c:v>
                </c:pt>
                <c:pt idx="1" c:formatCode="dd/mm">
                  <c:v>02/07</c:v>
                </c:pt>
                <c:pt idx="2" c:formatCode="dd/mm">
                  <c:v>03/07</c:v>
                </c:pt>
                <c:pt idx="3" c:formatCode="dd/mm">
                  <c:v>04/07</c:v>
                </c:pt>
                <c:pt idx="4" c:formatCode="dd/mm">
                  <c:v>05/07</c:v>
                </c:pt>
                <c:pt idx="5" c:formatCode="dd/mm">
                  <c:v>06/07</c:v>
                </c:pt>
                <c:pt idx="6" c:formatCode="dd/mm">
                  <c:v>07/07</c:v>
                </c:pt>
                <c:pt idx="7" c:formatCode="dd/mm">
                  <c:v>08/07</c:v>
                </c:pt>
                <c:pt idx="8" c:formatCode="dd/mm">
                  <c:v>09/07</c:v>
                </c:pt>
                <c:pt idx="9" c:formatCode="dd/mm">
                  <c:v>10/07</c:v>
                </c:pt>
                <c:pt idx="10" c:formatCode="dd/mm">
                  <c:v>11/07</c:v>
                </c:pt>
                <c:pt idx="11" c:formatCode="dd/mm">
                  <c:v>12/07</c:v>
                </c:pt>
              </c:strCache>
            </c:strRef>
          </c:cat>
          <c:val>
            <c:numRef>
              <c:f>'01_GT'!$C$70:$C$97</c:f>
              <c:numCache>
                <c:formatCode>#,##0</c:formatCode>
                <c:ptCount val="12"/>
                <c:pt idx="0">
                  <c:v>1638000</c:v>
                </c:pt>
                <c:pt idx="1">
                  <c:v>3000000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37717920</c:v>
                </c:pt>
                <c:pt idx="6">
                  <c:v>0</c:v>
                </c:pt>
                <c:pt idx="7">
                  <c:v>51216960</c:v>
                </c:pt>
                <c:pt idx="8">
                  <c:v>4824000</c:v>
                </c:pt>
                <c:pt idx="9">
                  <c:v>9810000</c:v>
                </c:pt>
                <c:pt idx="10">
                  <c:v>6240000</c:v>
                </c:pt>
                <c:pt idx="11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"Kỳ trước"</c:f>
              <c:strCache>
                <c:ptCount val="1"/>
                <c:pt idx="0">
                  <c:v>Kỳ trước</c:v>
                </c:pt>
              </c:strCache>
            </c:strRef>
          </c:tx>
          <c:spPr>
            <a:ln w="12600" cap="rnd">
              <a:solidFill>
                <a:srgbClr val="E97132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rgbClr val="000000"/>
                    </a:solidFill>
                    <a:uFillTx/>
                    <a:latin typeface="Calibri" panose="020F0502020204030204"/>
                    <a:ea typeface="Calibri" panose="020F0502020204030204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'01_GT'!$A$70:$A$97</c:f>
              <c:strCache>
                <c:ptCount val="12"/>
                <c:pt idx="0" c:formatCode="dd/mm">
                  <c:v>01/07</c:v>
                </c:pt>
                <c:pt idx="1" c:formatCode="dd/mm">
                  <c:v>02/07</c:v>
                </c:pt>
                <c:pt idx="2" c:formatCode="dd/mm">
                  <c:v>03/07</c:v>
                </c:pt>
                <c:pt idx="3" c:formatCode="dd/mm">
                  <c:v>04/07</c:v>
                </c:pt>
                <c:pt idx="4" c:formatCode="dd/mm">
                  <c:v>05/07</c:v>
                </c:pt>
                <c:pt idx="5" c:formatCode="dd/mm">
                  <c:v>06/07</c:v>
                </c:pt>
                <c:pt idx="6" c:formatCode="dd/mm">
                  <c:v>07/07</c:v>
                </c:pt>
                <c:pt idx="7" c:formatCode="dd/mm">
                  <c:v>08/07</c:v>
                </c:pt>
                <c:pt idx="8" c:formatCode="dd/mm">
                  <c:v>09/07</c:v>
                </c:pt>
                <c:pt idx="9" c:formatCode="dd/mm">
                  <c:v>10/07</c:v>
                </c:pt>
                <c:pt idx="10" c:formatCode="dd/mm">
                  <c:v>11/07</c:v>
                </c:pt>
                <c:pt idx="11" c:formatCode="dd/mm">
                  <c:v>12/07</c:v>
                </c:pt>
              </c:strCache>
            </c:strRef>
          </c:cat>
          <c:val>
            <c:numRef>
              <c:f>'01_GT'!$P$70:$P$97</c:f>
              <c:numCache>
                <c:formatCode>#,##0</c:formatCode>
                <c:ptCount val="12"/>
                <c:pt idx="0">
                  <c:v>-186642.86</c:v>
                </c:pt>
                <c:pt idx="1">
                  <c:v>999273.8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12421810.77</c:v>
                </c:pt>
                <c:pt idx="6">
                  <c:v>0</c:v>
                </c:pt>
                <c:pt idx="7">
                  <c:v>16880219.46</c:v>
                </c:pt>
                <c:pt idx="8">
                  <c:v>1584399.52</c:v>
                </c:pt>
                <c:pt idx="9">
                  <c:v>400013.09</c:v>
                </c:pt>
                <c:pt idx="10">
                  <c:v>89225.56</c:v>
                </c:pt>
                <c:pt idx="11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1"/>
        </c:dLbls>
        <c:hiLowLines>
          <c:spPr>
            <a:ln w="0">
              <a:noFill/>
              <a:prstDash val="solid"/>
              <a:round/>
            </a:ln>
          </c:spPr>
        </c:hiLowLines>
        <c:marker val="0"/>
        <c:smooth val="0"/>
        <c:axId val="48197872"/>
        <c:axId val="64511791"/>
      </c:lineChart>
      <c:catAx>
        <c:axId val="48197872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D9E2EC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600" b="0" i="0" u="none" strike="noStrike" kern="1200" baseline="0">
                <a:solidFill>
                  <a:srgbClr val="000000"/>
                </a:solidFill>
                <a:uFillTx/>
                <a:latin typeface="Calibri" panose="020F0502020204030204"/>
                <a:ea typeface="Calibri" panose="020F0502020204030204"/>
                <a:cs typeface="+mn-cs"/>
              </a:defRPr>
            </a:pPr>
          </a:p>
        </c:txPr>
        <c:crossAx val="64511791"/>
        <c:crosses val="autoZero"/>
        <c:auto val="1"/>
        <c:lblAlgn val="ctr"/>
        <c:lblOffset val="100"/>
        <c:noMultiLvlLbl val="0"/>
      </c:catAx>
      <c:valAx>
        <c:axId val="64511791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0.0,,&quot; tr&quot;;[Red]\(0.0,,&quot; tr)&quot;;\-" sourceLinked="0"/>
        <c:majorTickMark val="none"/>
        <c:minorTickMark val="none"/>
        <c:tickLblPos val="nextTo"/>
        <c:spPr>
          <a:ln w="9360">
            <a:solidFill>
              <a:srgbClr val="D9E2EC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600" b="0" i="0" u="none" strike="noStrike" kern="1200" baseline="0">
                <a:solidFill>
                  <a:srgbClr val="000000"/>
                </a:solidFill>
                <a:uFillTx/>
                <a:latin typeface="Calibri" panose="020F0502020204030204"/>
                <a:ea typeface="Calibri" panose="020F0502020204030204"/>
                <a:cs typeface="+mn-cs"/>
              </a:defRPr>
            </a:pPr>
          </a:p>
        </c:txPr>
        <c:crossAx val="48197872"/>
        <c:crosses val="autoZero"/>
        <c:crossBetween val="between"/>
      </c:valAx>
    </c:plotArea>
    <c:legend>
      <c:legendPos val="b"/>
      <c:layout/>
      <c:overlay val="0"/>
      <c:spPr>
        <a:noFill/>
        <a:ln w="0">
          <a:noFill/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rgbClr val="000000"/>
              </a:solidFill>
              <a:uFillTx/>
              <a:latin typeface="Calibri" panose="020F0502020204030204"/>
              <a:ea typeface="Calibri" panose="020F0502020204030204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47f51f3-b0b0-4c6a-9325-38764310c663}"/>
      </c:ext>
    </c:extLst>
  </c:chart>
  <c:spPr>
    <a:ln w="9360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300" b="0" i="0" u="none" strike="noStrike" kern="1200" baseline="0">
                <a:solidFill>
                  <a:schemeClr val="tx1"/>
                </a:solidFill>
                <a:uFillTx/>
                <a:latin typeface="Arial" panose="020B0604020202020204"/>
                <a:ea typeface="+mn-ea"/>
                <a:cs typeface="+mn-cs"/>
              </a:defRPr>
            </a:pPr>
            <a:r>
              <a:rPr sz="1800" b="1" strike="noStrike">
                <a:solidFill>
                  <a:srgbClr val="000000"/>
                </a:solidFill>
                <a:uFillTx/>
                <a:latin typeface="Calibri" panose="020F0502020204030204"/>
                <a:ea typeface="Calibri" panose="020F0502020204030204"/>
              </a:rPr>
              <a:t>Lợi nhuận theo ngày</a:t>
            </a:r>
            <a:endParaRPr sz="1800" b="1" strike="noStrike">
              <a:solidFill>
                <a:srgbClr val="000000"/>
              </a:solidFill>
              <a:uFillTx/>
              <a:latin typeface="Calibri" panose="020F0502020204030204"/>
              <a:ea typeface="Calibri" panose="020F0502020204030204"/>
            </a:endParaRPr>
          </a:p>
        </c:rich>
      </c:tx>
      <c:layout/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"Lợi nhuận"</c:f>
              <c:strCache>
                <c:ptCount val="1"/>
                <c:pt idx="0">
                  <c:v>Lợi nhuận</c:v>
                </c:pt>
              </c:strCache>
            </c:strRef>
          </c:tx>
          <c:spPr>
            <a:ln w="1260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rgbClr val="000000"/>
                    </a:solidFill>
                    <a:uFillTx/>
                    <a:latin typeface="Calibri" panose="020F0502020204030204"/>
                    <a:ea typeface="Calibri" panose="020F0502020204030204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'01_GT'!$A$70:$A$97</c:f>
              <c:strCache>
                <c:ptCount val="12"/>
                <c:pt idx="0" c:formatCode="dd/mm">
                  <c:v>01/07</c:v>
                </c:pt>
                <c:pt idx="1" c:formatCode="dd/mm">
                  <c:v>02/07</c:v>
                </c:pt>
                <c:pt idx="2" c:formatCode="dd/mm">
                  <c:v>03/07</c:v>
                </c:pt>
                <c:pt idx="3" c:formatCode="dd/mm">
                  <c:v>04/07</c:v>
                </c:pt>
                <c:pt idx="4" c:formatCode="dd/mm">
                  <c:v>05/07</c:v>
                </c:pt>
                <c:pt idx="5" c:formatCode="dd/mm">
                  <c:v>06/07</c:v>
                </c:pt>
                <c:pt idx="6" c:formatCode="dd/mm">
                  <c:v>07/07</c:v>
                </c:pt>
                <c:pt idx="7" c:formatCode="dd/mm">
                  <c:v>08/07</c:v>
                </c:pt>
                <c:pt idx="8" c:formatCode="dd/mm">
                  <c:v>09/07</c:v>
                </c:pt>
                <c:pt idx="9" c:formatCode="dd/mm">
                  <c:v>10/07</c:v>
                </c:pt>
                <c:pt idx="10" c:formatCode="dd/mm">
                  <c:v>11/07</c:v>
                </c:pt>
                <c:pt idx="11" c:formatCode="dd/mm">
                  <c:v>12/07</c:v>
                </c:pt>
              </c:strCache>
            </c:strRef>
          </c:cat>
          <c:val>
            <c:numRef>
              <c:f>'01_GT'!$N$70:$N$97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1"/>
        </c:dLbls>
        <c:gapWidth val="150"/>
        <c:overlap val="0"/>
        <c:axId val="75591893"/>
        <c:axId val="41953417"/>
      </c:barChart>
      <c:catAx>
        <c:axId val="75591893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D9E2EC"/>
            </a:solidFill>
            <a:prstDash val="solid"/>
            <a:round/>
          </a:ln>
        </c:spPr>
        <c:txPr>
          <a:bodyPr rot="-1500000" spcFirstLastPara="0" vertOverflow="ellipsis" vert="horz" wrap="square" anchor="ctr" anchorCtr="1"/>
          <a:lstStyle/>
          <a:p>
            <a:pPr>
              <a:defRPr lang="en-US" sz="600" b="0" i="0" u="none" strike="noStrike" kern="1200" baseline="0">
                <a:solidFill>
                  <a:srgbClr val="000000"/>
                </a:solidFill>
                <a:uFillTx/>
                <a:latin typeface="Calibri" panose="020F0502020204030204"/>
                <a:ea typeface="Calibri" panose="020F0502020204030204"/>
                <a:cs typeface="+mn-cs"/>
              </a:defRPr>
            </a:pPr>
          </a:p>
        </c:txPr>
        <c:crossAx val="41953417"/>
        <c:crosses val="autoZero"/>
        <c:auto val="1"/>
        <c:lblAlgn val="ctr"/>
        <c:lblOffset val="100"/>
        <c:noMultiLvlLbl val="0"/>
      </c:catAx>
      <c:valAx>
        <c:axId val="41953417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0.0,,&quot; tr&quot;;[Red]\(0.0,,&quot; tr)&quot;;\-" sourceLinked="0"/>
        <c:majorTickMark val="none"/>
        <c:minorTickMark val="none"/>
        <c:tickLblPos val="nextTo"/>
        <c:spPr>
          <a:ln w="9360">
            <a:solidFill>
              <a:srgbClr val="D9E2EC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600" b="0" i="0" u="none" strike="noStrike" kern="1200" baseline="0">
                <a:solidFill>
                  <a:srgbClr val="000000"/>
                </a:solidFill>
                <a:uFillTx/>
                <a:latin typeface="Calibri" panose="020F0502020204030204"/>
                <a:ea typeface="Calibri" panose="020F0502020204030204"/>
                <a:cs typeface="+mn-cs"/>
              </a:defRPr>
            </a:pPr>
          </a:p>
        </c:txPr>
        <c:crossAx val="75591893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d4b4de00-6f9e-4722-8a97-43102830708d}"/>
      </c:ext>
    </c:extLst>
  </c:chart>
  <c:spPr>
    <a:ln w="9360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300" b="0" i="0" u="none" strike="noStrike" kern="1200" baseline="0">
                <a:solidFill>
                  <a:schemeClr val="tx1"/>
                </a:solidFill>
                <a:uFillTx/>
                <a:latin typeface="Arial" panose="020B0604020202020204"/>
                <a:ea typeface="+mn-ea"/>
                <a:cs typeface="+mn-cs"/>
              </a:defRPr>
            </a:pPr>
            <a:r>
              <a:rPr sz="1800" b="1" strike="noStrike">
                <a:solidFill>
                  <a:srgbClr val="000000"/>
                </a:solidFill>
                <a:uFillTx/>
                <a:latin typeface="Calibri" panose="020F0502020204030204"/>
                <a:ea typeface="Calibri" panose="020F0502020204030204"/>
              </a:rPr>
              <a:t>4 nhóm chi phí chính theo ngày</a:t>
            </a:r>
            <a:endParaRPr sz="1800" b="1" strike="noStrike">
              <a:solidFill>
                <a:srgbClr val="000000"/>
              </a:solidFill>
              <a:uFillTx/>
              <a:latin typeface="Calibri" panose="020F0502020204030204"/>
              <a:ea typeface="Calibri" panose="020F0502020204030204"/>
            </a:endParaRPr>
          </a:p>
        </c:rich>
      </c:tx>
      <c:layout/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"Giá vốn"</c:f>
              <c:strCache>
                <c:ptCount val="1"/>
                <c:pt idx="0">
                  <c:v>Giá vốn</c:v>
                </c:pt>
              </c:strCache>
            </c:strRef>
          </c:tx>
          <c:spPr>
            <a:ln w="1260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rgbClr val="000000"/>
                    </a:solidFill>
                    <a:uFillTx/>
                    <a:latin typeface="Calibri" panose="020F0502020204030204"/>
                    <a:ea typeface="Calibri" panose="020F0502020204030204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'01_GT'!$A$70:$A$97</c:f>
              <c:strCache>
                <c:ptCount val="12"/>
                <c:pt idx="0" c:formatCode="dd/mm">
                  <c:v>01/07</c:v>
                </c:pt>
                <c:pt idx="1" c:formatCode="dd/mm">
                  <c:v>02/07</c:v>
                </c:pt>
                <c:pt idx="2" c:formatCode="dd/mm">
                  <c:v>03/07</c:v>
                </c:pt>
                <c:pt idx="3" c:formatCode="dd/mm">
                  <c:v>04/07</c:v>
                </c:pt>
                <c:pt idx="4" c:formatCode="dd/mm">
                  <c:v>05/07</c:v>
                </c:pt>
                <c:pt idx="5" c:formatCode="dd/mm">
                  <c:v>06/07</c:v>
                </c:pt>
                <c:pt idx="6" c:formatCode="dd/mm">
                  <c:v>07/07</c:v>
                </c:pt>
                <c:pt idx="7" c:formatCode="dd/mm">
                  <c:v>08/07</c:v>
                </c:pt>
                <c:pt idx="8" c:formatCode="dd/mm">
                  <c:v>09/07</c:v>
                </c:pt>
                <c:pt idx="9" c:formatCode="dd/mm">
                  <c:v>10/07</c:v>
                </c:pt>
                <c:pt idx="10" c:formatCode="dd/mm">
                  <c:v>11/07</c:v>
                </c:pt>
                <c:pt idx="11" c:formatCode="dd/mm">
                  <c:v>12/07</c:v>
                </c:pt>
              </c:strCache>
            </c:strRef>
          </c:cat>
          <c:val>
            <c:numRef>
              <c:f>'01_GT'!$F$70:$F$97</c:f>
              <c:numCache>
                <c:formatCode>0.0%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strRef>
              <c:f>"Phí sàn"</c:f>
              <c:strCache>
                <c:ptCount val="1"/>
                <c:pt idx="0">
                  <c:v>Phí sàn</c:v>
                </c:pt>
              </c:strCache>
            </c:strRef>
          </c:tx>
          <c:spPr>
            <a:ln w="1260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rgbClr val="000000"/>
                    </a:solidFill>
                    <a:uFillTx/>
                    <a:latin typeface="Calibri" panose="020F0502020204030204"/>
                    <a:ea typeface="Calibri" panose="020F0502020204030204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'01_GT'!$A$70:$A$97</c:f>
              <c:strCache>
                <c:ptCount val="12"/>
                <c:pt idx="0" c:formatCode="dd/mm">
                  <c:v>01/07</c:v>
                </c:pt>
                <c:pt idx="1" c:formatCode="dd/mm">
                  <c:v>02/07</c:v>
                </c:pt>
                <c:pt idx="2" c:formatCode="dd/mm">
                  <c:v>03/07</c:v>
                </c:pt>
                <c:pt idx="3" c:formatCode="dd/mm">
                  <c:v>04/07</c:v>
                </c:pt>
                <c:pt idx="4" c:formatCode="dd/mm">
                  <c:v>05/07</c:v>
                </c:pt>
                <c:pt idx="5" c:formatCode="dd/mm">
                  <c:v>06/07</c:v>
                </c:pt>
                <c:pt idx="6" c:formatCode="dd/mm">
                  <c:v>07/07</c:v>
                </c:pt>
                <c:pt idx="7" c:formatCode="dd/mm">
                  <c:v>08/07</c:v>
                </c:pt>
                <c:pt idx="8" c:formatCode="dd/mm">
                  <c:v>09/07</c:v>
                </c:pt>
                <c:pt idx="9" c:formatCode="dd/mm">
                  <c:v>10/07</c:v>
                </c:pt>
                <c:pt idx="10" c:formatCode="dd/mm">
                  <c:v>11/07</c:v>
                </c:pt>
                <c:pt idx="11" c:formatCode="dd/mm">
                  <c:v>12/07</c:v>
                </c:pt>
              </c:strCache>
            </c:strRef>
          </c:cat>
          <c:val>
            <c:numRef>
              <c:f>'01_GT'!$G$70:$G$97</c:f>
              <c:numCache>
                <c:formatCode>#,##0</c:formatCode>
                <c:ptCount val="12"/>
                <c:pt idx="0">
                  <c:v>1217284.86</c:v>
                </c:pt>
                <c:pt idx="1">
                  <c:v>1159678.2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18785128.83</c:v>
                </c:pt>
                <c:pt idx="6">
                  <c:v>0</c:v>
                </c:pt>
                <c:pt idx="7">
                  <c:v>25280546.34</c:v>
                </c:pt>
                <c:pt idx="8">
                  <c:v>2091660.48</c:v>
                </c:pt>
                <c:pt idx="9">
                  <c:v>7454092.91</c:v>
                </c:pt>
                <c:pt idx="10">
                  <c:v>4869139.44</c:v>
                </c:pt>
                <c:pt idx="11">
                  <c:v>0</c:v>
                </c:pt>
              </c:numCache>
            </c:numRef>
          </c:val>
        </c:ser>
        <c:ser>
          <c:idx val="2"/>
          <c:order val="2"/>
          <c:tx>
            <c:strRef>
              <c:f>"Backoffice"</c:f>
              <c:strCache>
                <c:ptCount val="1"/>
                <c:pt idx="0">
                  <c:v>Backoffice</c:v>
                </c:pt>
              </c:strCache>
            </c:strRef>
          </c:tx>
          <c:spPr>
            <a:ln w="1260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rgbClr val="000000"/>
                    </a:solidFill>
                    <a:uFillTx/>
                    <a:latin typeface="Calibri" panose="020F0502020204030204"/>
                    <a:ea typeface="Calibri" panose="020F0502020204030204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'01_GT'!$A$70:$A$97</c:f>
              <c:strCache>
                <c:ptCount val="12"/>
                <c:pt idx="0" c:formatCode="dd/mm">
                  <c:v>01/07</c:v>
                </c:pt>
                <c:pt idx="1" c:formatCode="dd/mm">
                  <c:v>02/07</c:v>
                </c:pt>
                <c:pt idx="2" c:formatCode="dd/mm">
                  <c:v>03/07</c:v>
                </c:pt>
                <c:pt idx="3" c:formatCode="dd/mm">
                  <c:v>04/07</c:v>
                </c:pt>
                <c:pt idx="4" c:formatCode="dd/mm">
                  <c:v>05/07</c:v>
                </c:pt>
                <c:pt idx="5" c:formatCode="dd/mm">
                  <c:v>06/07</c:v>
                </c:pt>
                <c:pt idx="6" c:formatCode="dd/mm">
                  <c:v>07/07</c:v>
                </c:pt>
                <c:pt idx="7" c:formatCode="dd/mm">
                  <c:v>08/07</c:v>
                </c:pt>
                <c:pt idx="8" c:formatCode="dd/mm">
                  <c:v>09/07</c:v>
                </c:pt>
                <c:pt idx="9" c:formatCode="dd/mm">
                  <c:v>10/07</c:v>
                </c:pt>
                <c:pt idx="10" c:formatCode="dd/mm">
                  <c:v>11/07</c:v>
                </c:pt>
                <c:pt idx="11" c:formatCode="dd/mm">
                  <c:v>12/07</c:v>
                </c:pt>
              </c:strCache>
            </c:strRef>
          </c:cat>
          <c:val>
            <c:numRef>
              <c:f>'01_GT'!$I$70:$I$97</c:f>
              <c:numCache>
                <c:formatCode>#,##0</c:formatCode>
                <c:ptCount val="12"/>
                <c:pt idx="0">
                  <c:v>32760</c:v>
                </c:pt>
                <c:pt idx="1">
                  <c:v>60000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754358.4</c:v>
                </c:pt>
                <c:pt idx="6">
                  <c:v>0</c:v>
                </c:pt>
                <c:pt idx="7">
                  <c:v>1024339.2</c:v>
                </c:pt>
                <c:pt idx="8">
                  <c:v>96480</c:v>
                </c:pt>
                <c:pt idx="9">
                  <c:v>196200</c:v>
                </c:pt>
                <c:pt idx="10">
                  <c:v>124800</c:v>
                </c:pt>
                <c:pt idx="11">
                  <c:v>0</c:v>
                </c:pt>
              </c:numCache>
            </c:numRef>
          </c:val>
        </c:ser>
        <c:ser>
          <c:idx val="3"/>
          <c:order val="3"/>
          <c:tx>
            <c:strRef>
              <c:f>"Ads"</c:f>
              <c:strCache>
                <c:ptCount val="1"/>
                <c:pt idx="0">
                  <c:v>Ads</c:v>
                </c:pt>
              </c:strCache>
            </c:strRef>
          </c:tx>
          <c:spPr>
            <a:ln w="1260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rgbClr val="000000"/>
                    </a:solidFill>
                    <a:uFillTx/>
                    <a:latin typeface="Calibri" panose="020F0502020204030204"/>
                    <a:ea typeface="Calibri" panose="020F0502020204030204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'01_GT'!$A$70:$A$97</c:f>
              <c:strCache>
                <c:ptCount val="12"/>
                <c:pt idx="0" c:formatCode="dd/mm">
                  <c:v>01/07</c:v>
                </c:pt>
                <c:pt idx="1" c:formatCode="dd/mm">
                  <c:v>02/07</c:v>
                </c:pt>
                <c:pt idx="2" c:formatCode="dd/mm">
                  <c:v>03/07</c:v>
                </c:pt>
                <c:pt idx="3" c:formatCode="dd/mm">
                  <c:v>04/07</c:v>
                </c:pt>
                <c:pt idx="4" c:formatCode="dd/mm">
                  <c:v>05/07</c:v>
                </c:pt>
                <c:pt idx="5" c:formatCode="dd/mm">
                  <c:v>06/07</c:v>
                </c:pt>
                <c:pt idx="6" c:formatCode="dd/mm">
                  <c:v>07/07</c:v>
                </c:pt>
                <c:pt idx="7" c:formatCode="dd/mm">
                  <c:v>08/07</c:v>
                </c:pt>
                <c:pt idx="8" c:formatCode="dd/mm">
                  <c:v>09/07</c:v>
                </c:pt>
                <c:pt idx="9" c:formatCode="dd/mm">
                  <c:v>10/07</c:v>
                </c:pt>
                <c:pt idx="10" c:formatCode="dd/mm">
                  <c:v>11/07</c:v>
                </c:pt>
                <c:pt idx="11" c:formatCode="dd/mm">
                  <c:v>12/07</c:v>
                </c:pt>
              </c:strCache>
            </c:strRef>
          </c:cat>
          <c:val>
            <c:numRef>
              <c:f>'01_GT'!$J$70:$J$97</c:f>
              <c:numCache>
                <c:formatCode>#,##0</c:formatCode>
                <c:ptCount val="12"/>
                <c:pt idx="0">
                  <c:v>245700</c:v>
                </c:pt>
                <c:pt idx="1">
                  <c:v>450000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5657688</c:v>
                </c:pt>
                <c:pt idx="6">
                  <c:v>0</c:v>
                </c:pt>
                <c:pt idx="7">
                  <c:v>7682544</c:v>
                </c:pt>
                <c:pt idx="8">
                  <c:v>723600</c:v>
                </c:pt>
                <c:pt idx="9">
                  <c:v>1471500</c:v>
                </c:pt>
                <c:pt idx="10">
                  <c:v>936000</c:v>
                </c:pt>
                <c:pt idx="11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1"/>
        </c:dLbls>
        <c:gapWidth val="150"/>
        <c:overlap val="0"/>
        <c:axId val="88421202"/>
        <c:axId val="24462129"/>
      </c:barChart>
      <c:catAx>
        <c:axId val="88421202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D9E2EC"/>
            </a:solidFill>
            <a:prstDash val="solid"/>
            <a:round/>
          </a:ln>
        </c:spPr>
        <c:txPr>
          <a:bodyPr rot="-1500000" spcFirstLastPara="0" vertOverflow="ellipsis" vert="horz" wrap="square" anchor="ctr" anchorCtr="1"/>
          <a:lstStyle/>
          <a:p>
            <a:pPr>
              <a:defRPr lang="en-US" sz="600" b="0" i="0" u="none" strike="noStrike" kern="1200" baseline="0">
                <a:solidFill>
                  <a:srgbClr val="000000"/>
                </a:solidFill>
                <a:uFillTx/>
                <a:latin typeface="Calibri" panose="020F0502020204030204"/>
                <a:ea typeface="Calibri" panose="020F0502020204030204"/>
                <a:cs typeface="+mn-cs"/>
              </a:defRPr>
            </a:pPr>
          </a:p>
        </c:txPr>
        <c:crossAx val="24462129"/>
        <c:crosses val="autoZero"/>
        <c:auto val="1"/>
        <c:lblAlgn val="ctr"/>
        <c:lblOffset val="100"/>
        <c:noMultiLvlLbl val="0"/>
      </c:catAx>
      <c:valAx>
        <c:axId val="24462129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0.0,,&quot; tr&quot;;[Red]\(0.0,,&quot; tr)&quot;;\-" sourceLinked="0"/>
        <c:majorTickMark val="none"/>
        <c:minorTickMark val="none"/>
        <c:tickLblPos val="nextTo"/>
        <c:spPr>
          <a:ln w="9360">
            <a:solidFill>
              <a:srgbClr val="D9E2EC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600" b="0" i="0" u="none" strike="noStrike" kern="1200" baseline="0">
                <a:solidFill>
                  <a:srgbClr val="000000"/>
                </a:solidFill>
                <a:uFillTx/>
                <a:latin typeface="Calibri" panose="020F0502020204030204"/>
                <a:ea typeface="Calibri" panose="020F0502020204030204"/>
                <a:cs typeface="+mn-cs"/>
              </a:defRPr>
            </a:pPr>
          </a:p>
        </c:txPr>
        <c:crossAx val="88421202"/>
        <c:crosses val="autoZero"/>
        <c:crossBetween val="between"/>
      </c:valAx>
    </c:plotArea>
    <c:legend>
      <c:legendPos val="b"/>
      <c:layout/>
      <c:overlay val="0"/>
      <c:spPr>
        <a:noFill/>
        <a:ln w="0">
          <a:noFill/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rgbClr val="000000"/>
              </a:solidFill>
              <a:uFillTx/>
              <a:latin typeface="Calibri" panose="020F0502020204030204"/>
              <a:ea typeface="Calibri" panose="020F0502020204030204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d0ddaeb-02f5-4c79-83d6-1349a9002de4}"/>
      </c:ext>
    </c:extLst>
  </c:chart>
  <c:spPr>
    <a:ln w="9360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300" b="0" i="0" u="none" strike="noStrike" kern="1200" baseline="0">
                <a:solidFill>
                  <a:schemeClr val="tx1"/>
                </a:solidFill>
                <a:uFillTx/>
                <a:latin typeface="Arial" panose="020B0604020202020204"/>
                <a:ea typeface="+mn-ea"/>
                <a:cs typeface="+mn-cs"/>
              </a:defRPr>
            </a:pPr>
            <a:r>
              <a:rPr sz="1800" b="1" strike="noStrike">
                <a:solidFill>
                  <a:srgbClr val="000000"/>
                </a:solidFill>
                <a:uFillTx/>
                <a:latin typeface="Calibri" panose="020F0502020204030204"/>
                <a:ea typeface="Calibri" panose="020F0502020204030204"/>
              </a:rPr>
              <a:t>Cơ cấu chi phí tháng</a:t>
            </a:r>
            <a:endParaRPr sz="1800" b="1" strike="noStrike">
              <a:solidFill>
                <a:srgbClr val="000000"/>
              </a:solidFill>
              <a:uFillTx/>
              <a:latin typeface="Calibri" panose="020F0502020204030204"/>
              <a:ea typeface="Calibri" panose="020F0502020204030204"/>
            </a:endParaRPr>
          </a:p>
        </c:rich>
      </c:tx>
      <c:layout/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"Chi phí"</c:f>
              <c:strCache>
                <c:ptCount val="1"/>
                <c:pt idx="0">
                  <c:v>Chi phí</c:v>
                </c:pt>
              </c:strCache>
            </c:strRef>
          </c:tx>
          <c:spPr>
            <a:ln w="1260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rgbClr val="000000"/>
                    </a:solidFill>
                    <a:uFillTx/>
                    <a:latin typeface="Calibri" panose="020F0502020204030204"/>
                    <a:ea typeface="Calibri" panose="020F0502020204030204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'01_GT'!$R$31:$R$37</c:f>
              <c:strCache>
                <c:ptCount val="7"/>
                <c:pt idx="0">
                  <c:v>Backoffice fee</c:v>
                </c:pt>
                <c:pt idx="1">
                  <c:v>Shipping / return fee</c:v>
                </c:pt>
                <c:pt idx="2">
                  <c:v>Ads cost</c:v>
                </c:pt>
                <c:pt idx="3">
                  <c:v>Platform fees</c:v>
                </c:pt>
                <c:pt idx="4">
                  <c:v>Live cost</c:v>
                </c:pt>
                <c:pt idx="5">
                  <c:v>Booking fee</c:v>
                </c:pt>
                <c:pt idx="6">
                  <c:v>Packaging cost</c:v>
                </c:pt>
              </c:strCache>
            </c:strRef>
          </c:cat>
          <c:val>
            <c:numRef>
              <c:f>'01_GT'!$S$31:$S$37</c:f>
              <c:numCache>
                <c:formatCode>#,##0</c:formatCode>
                <c:ptCount val="7"/>
                <c:pt idx="0">
                  <c:v>17167032</c:v>
                </c:pt>
                <c:pt idx="1">
                  <c:v>2288937.6</c:v>
                </c:pt>
                <c:pt idx="2">
                  <c:v>1945080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1"/>
        </c:dLbls>
        <c:gapWidth val="150"/>
        <c:overlap val="0"/>
        <c:axId val="84114602"/>
        <c:axId val="78105041"/>
      </c:barChart>
      <c:catAx>
        <c:axId val="84114602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D9E2EC"/>
            </a:solidFill>
            <a:prstDash val="solid"/>
            <a:round/>
          </a:ln>
        </c:spPr>
        <c:txPr>
          <a:bodyPr rot="-1500000" spcFirstLastPara="0" vertOverflow="ellipsis" vert="horz" wrap="square" anchor="ctr" anchorCtr="1"/>
          <a:lstStyle/>
          <a:p>
            <a:pPr>
              <a:defRPr lang="en-US" sz="600" b="0" i="0" u="none" strike="noStrike" kern="1200" baseline="0">
                <a:solidFill>
                  <a:srgbClr val="000000"/>
                </a:solidFill>
                <a:uFillTx/>
                <a:latin typeface="Calibri" panose="020F0502020204030204"/>
                <a:ea typeface="Calibri" panose="020F0502020204030204"/>
                <a:cs typeface="+mn-cs"/>
              </a:defRPr>
            </a:pPr>
          </a:p>
        </c:txPr>
        <c:crossAx val="78105041"/>
        <c:crosses val="autoZero"/>
        <c:auto val="1"/>
        <c:lblAlgn val="ctr"/>
        <c:lblOffset val="100"/>
        <c:noMultiLvlLbl val="0"/>
      </c:catAx>
      <c:valAx>
        <c:axId val="78105041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0.0,,&quot; tr&quot;;[Red]\(0.0,,&quot; tr)&quot;;\-" sourceLinked="0"/>
        <c:majorTickMark val="none"/>
        <c:minorTickMark val="none"/>
        <c:tickLblPos val="nextTo"/>
        <c:spPr>
          <a:ln w="9360">
            <a:solidFill>
              <a:srgbClr val="D9E2EC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600" b="0" i="0" u="none" strike="noStrike" kern="1200" baseline="0">
                <a:solidFill>
                  <a:srgbClr val="000000"/>
                </a:solidFill>
                <a:uFillTx/>
                <a:latin typeface="Calibri" panose="020F0502020204030204"/>
                <a:ea typeface="Calibri" panose="020F0502020204030204"/>
                <a:cs typeface="+mn-cs"/>
              </a:defRPr>
            </a:pPr>
          </a:p>
        </c:txPr>
        <c:crossAx val="84114602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5c309662-fb0c-43de-a907-f2bf02ed0c06}"/>
      </c:ext>
    </c:extLst>
  </c:chart>
  <c:spPr>
    <a:ln w="9360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300" b="0" i="0" u="none" strike="noStrike" kern="1200" baseline="0">
                <a:solidFill>
                  <a:schemeClr val="tx1"/>
                </a:solidFill>
                <a:uFillTx/>
                <a:latin typeface="Arial" panose="020B0604020202020204"/>
                <a:ea typeface="+mn-ea"/>
                <a:cs typeface="+mn-cs"/>
              </a:defRPr>
            </a:pPr>
            <a:r>
              <a:rPr sz="1800" b="1" strike="noStrike">
                <a:solidFill>
                  <a:srgbClr val="000000"/>
                </a:solidFill>
                <a:uFillTx/>
                <a:latin typeface="Calibri" panose="020F0502020204030204"/>
                <a:ea typeface="Calibri" panose="020F0502020204030204"/>
              </a:rPr>
              <a:t>Doanh thu thuần theo ngày: hiện tại vs kỳ trước</a:t>
            </a:r>
            <a:endParaRPr sz="1800" b="1" strike="noStrike">
              <a:solidFill>
                <a:srgbClr val="000000"/>
              </a:solidFill>
              <a:uFillTx/>
              <a:latin typeface="Calibri" panose="020F0502020204030204"/>
              <a:ea typeface="Calibri" panose="020F0502020204030204"/>
            </a:endParaRPr>
          </a:p>
        </c:rich>
      </c:tx>
      <c:layout/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"Hiện tại"</c:f>
              <c:strCache>
                <c:ptCount val="1"/>
                <c:pt idx="0">
                  <c:v>Hiện tại</c:v>
                </c:pt>
              </c:strCache>
            </c:strRef>
          </c:tx>
          <c:spPr>
            <a:ln w="12600" cap="rnd">
              <a:solidFill>
                <a:srgbClr val="156082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rgbClr val="000000"/>
                    </a:solidFill>
                    <a:uFillTx/>
                    <a:latin typeface="Calibri" panose="020F0502020204030204"/>
                    <a:ea typeface="Calibri" panose="020F0502020204030204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'02_MT'!$A$70:$A$97</c:f>
              <c:strCache>
                <c:ptCount val="12"/>
                <c:pt idx="0" c:formatCode="dd/mm">
                  <c:v>01/07</c:v>
                </c:pt>
                <c:pt idx="1" c:formatCode="dd/mm">
                  <c:v>02/07</c:v>
                </c:pt>
                <c:pt idx="2" c:formatCode="dd/mm">
                  <c:v>03/07</c:v>
                </c:pt>
                <c:pt idx="3" c:formatCode="dd/mm">
                  <c:v>04/07</c:v>
                </c:pt>
                <c:pt idx="4" c:formatCode="dd/mm">
                  <c:v>05/07</c:v>
                </c:pt>
                <c:pt idx="5" c:formatCode="dd/mm">
                  <c:v>06/07</c:v>
                </c:pt>
                <c:pt idx="6" c:formatCode="dd/mm">
                  <c:v>07/07</c:v>
                </c:pt>
                <c:pt idx="7" c:formatCode="dd/mm">
                  <c:v>08/07</c:v>
                </c:pt>
                <c:pt idx="8" c:formatCode="dd/mm">
                  <c:v>09/07</c:v>
                </c:pt>
                <c:pt idx="9" c:formatCode="dd/mm">
                  <c:v>10/07</c:v>
                </c:pt>
                <c:pt idx="10" c:formatCode="dd/mm">
                  <c:v>11/07</c:v>
                </c:pt>
                <c:pt idx="11" c:formatCode="dd/mm">
                  <c:v>12/07</c:v>
                </c:pt>
              </c:strCache>
            </c:strRef>
          </c:cat>
          <c:val>
            <c:numRef>
              <c:f>'02_MT'!$C$70:$C$97</c:f>
              <c:numCache>
                <c:formatCode>#,##0</c:formatCode>
                <c:ptCount val="12"/>
                <c:pt idx="0">
                  <c:v>930150</c:v>
                </c:pt>
                <c:pt idx="1">
                  <c:v>62988515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52136247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"Kỳ trước"</c:f>
              <c:strCache>
                <c:ptCount val="1"/>
                <c:pt idx="0">
                  <c:v>Kỳ trước</c:v>
                </c:pt>
              </c:strCache>
            </c:strRef>
          </c:tx>
          <c:spPr>
            <a:ln w="12600" cap="rnd">
              <a:solidFill>
                <a:srgbClr val="E97132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rgbClr val="000000"/>
                    </a:solidFill>
                    <a:uFillTx/>
                    <a:latin typeface="Calibri" panose="020F0502020204030204"/>
                    <a:ea typeface="Calibri" panose="020F0502020204030204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'02_MT'!$A$70:$A$97</c:f>
              <c:strCache>
                <c:ptCount val="12"/>
                <c:pt idx="0" c:formatCode="dd/mm">
                  <c:v>01/07</c:v>
                </c:pt>
                <c:pt idx="1" c:formatCode="dd/mm">
                  <c:v>02/07</c:v>
                </c:pt>
                <c:pt idx="2" c:formatCode="dd/mm">
                  <c:v>03/07</c:v>
                </c:pt>
                <c:pt idx="3" c:formatCode="dd/mm">
                  <c:v>04/07</c:v>
                </c:pt>
                <c:pt idx="4" c:formatCode="dd/mm">
                  <c:v>05/07</c:v>
                </c:pt>
                <c:pt idx="5" c:formatCode="dd/mm">
                  <c:v>06/07</c:v>
                </c:pt>
                <c:pt idx="6" c:formatCode="dd/mm">
                  <c:v>07/07</c:v>
                </c:pt>
                <c:pt idx="7" c:formatCode="dd/mm">
                  <c:v>08/07</c:v>
                </c:pt>
                <c:pt idx="8" c:formatCode="dd/mm">
                  <c:v>09/07</c:v>
                </c:pt>
                <c:pt idx="9" c:formatCode="dd/mm">
                  <c:v>10/07</c:v>
                </c:pt>
                <c:pt idx="10" c:formatCode="dd/mm">
                  <c:v>11/07</c:v>
                </c:pt>
                <c:pt idx="11" c:formatCode="dd/mm">
                  <c:v>12/07</c:v>
                </c:pt>
              </c:strCache>
            </c:strRef>
          </c:cat>
          <c:val>
            <c:numRef>
              <c:f>'02_MT'!$P$70:$P$97</c:f>
              <c:numCache>
                <c:formatCode>#,##0</c:formatCode>
                <c:ptCount val="12"/>
                <c:pt idx="0">
                  <c:v>408367.62</c:v>
                </c:pt>
                <c:pt idx="1">
                  <c:v>24772957.14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29211457.75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1"/>
        </c:dLbls>
        <c:hiLowLines>
          <c:spPr>
            <a:ln w="0">
              <a:noFill/>
              <a:prstDash val="solid"/>
              <a:round/>
            </a:ln>
          </c:spPr>
        </c:hiLowLines>
        <c:marker val="0"/>
        <c:smooth val="0"/>
        <c:axId val="21723801"/>
        <c:axId val="11407810"/>
      </c:lineChart>
      <c:catAx>
        <c:axId val="21723801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D9E2EC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600" b="0" i="0" u="none" strike="noStrike" kern="1200" baseline="0">
                <a:solidFill>
                  <a:srgbClr val="000000"/>
                </a:solidFill>
                <a:uFillTx/>
                <a:latin typeface="Calibri" panose="020F0502020204030204"/>
                <a:ea typeface="Calibri" panose="020F0502020204030204"/>
                <a:cs typeface="+mn-cs"/>
              </a:defRPr>
            </a:pPr>
          </a:p>
        </c:txPr>
        <c:crossAx val="11407810"/>
        <c:crosses val="autoZero"/>
        <c:auto val="1"/>
        <c:lblAlgn val="ctr"/>
        <c:lblOffset val="100"/>
        <c:noMultiLvlLbl val="0"/>
      </c:catAx>
      <c:valAx>
        <c:axId val="11407810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0.0,,&quot; tr&quot;;[Red]\(0.0,,&quot; tr)&quot;;\-" sourceLinked="0"/>
        <c:majorTickMark val="none"/>
        <c:minorTickMark val="none"/>
        <c:tickLblPos val="nextTo"/>
        <c:spPr>
          <a:ln w="9360">
            <a:solidFill>
              <a:srgbClr val="D9E2EC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600" b="0" i="0" u="none" strike="noStrike" kern="1200" baseline="0">
                <a:solidFill>
                  <a:srgbClr val="000000"/>
                </a:solidFill>
                <a:uFillTx/>
                <a:latin typeface="Calibri" panose="020F0502020204030204"/>
                <a:ea typeface="Calibri" panose="020F0502020204030204"/>
                <a:cs typeface="+mn-cs"/>
              </a:defRPr>
            </a:pPr>
          </a:p>
        </c:txPr>
        <c:crossAx val="21723801"/>
        <c:crosses val="autoZero"/>
        <c:crossBetween val="between"/>
      </c:valAx>
    </c:plotArea>
    <c:legend>
      <c:legendPos val="b"/>
      <c:layout/>
      <c:overlay val="0"/>
      <c:spPr>
        <a:noFill/>
        <a:ln w="0">
          <a:noFill/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rgbClr val="000000"/>
              </a:solidFill>
              <a:uFillTx/>
              <a:latin typeface="Calibri" panose="020F0502020204030204"/>
              <a:ea typeface="Calibri" panose="020F0502020204030204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148509a-bfbb-4ba4-86af-b897a1133f9c}"/>
      </c:ext>
    </c:extLst>
  </c:chart>
  <c:spPr>
    <a:ln w="9360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300" b="0" i="0" u="none" strike="noStrike" kern="1200" baseline="0">
                <a:solidFill>
                  <a:schemeClr val="tx1"/>
                </a:solidFill>
                <a:uFillTx/>
                <a:latin typeface="Arial" panose="020B0604020202020204"/>
                <a:ea typeface="+mn-ea"/>
                <a:cs typeface="+mn-cs"/>
              </a:defRPr>
            </a:pPr>
            <a:r>
              <a:rPr sz="1800" b="1" strike="noStrike">
                <a:solidFill>
                  <a:srgbClr val="000000"/>
                </a:solidFill>
                <a:uFillTx/>
                <a:latin typeface="Calibri" panose="020F0502020204030204"/>
                <a:ea typeface="Calibri" panose="020F0502020204030204"/>
              </a:rPr>
              <a:t>Lợi nhuận theo ngày</a:t>
            </a:r>
            <a:endParaRPr sz="1800" b="1" strike="noStrike">
              <a:solidFill>
                <a:srgbClr val="000000"/>
              </a:solidFill>
              <a:uFillTx/>
              <a:latin typeface="Calibri" panose="020F0502020204030204"/>
              <a:ea typeface="Calibri" panose="020F0502020204030204"/>
            </a:endParaRPr>
          </a:p>
        </c:rich>
      </c:tx>
      <c:layout/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"Lợi nhuận"</c:f>
              <c:strCache>
                <c:ptCount val="1"/>
                <c:pt idx="0">
                  <c:v>Lợi nhuận</c:v>
                </c:pt>
              </c:strCache>
            </c:strRef>
          </c:tx>
          <c:spPr>
            <a:ln w="1260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rgbClr val="000000"/>
                    </a:solidFill>
                    <a:uFillTx/>
                    <a:latin typeface="Calibri" panose="020F0502020204030204"/>
                    <a:ea typeface="Calibri" panose="020F0502020204030204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'02_MT'!$A$70:$A$97</c:f>
              <c:strCache>
                <c:ptCount val="12"/>
                <c:pt idx="0" c:formatCode="dd/mm">
                  <c:v>01/07</c:v>
                </c:pt>
                <c:pt idx="1" c:formatCode="dd/mm">
                  <c:v>02/07</c:v>
                </c:pt>
                <c:pt idx="2" c:formatCode="dd/mm">
                  <c:v>03/07</c:v>
                </c:pt>
                <c:pt idx="3" c:formatCode="dd/mm">
                  <c:v>04/07</c:v>
                </c:pt>
                <c:pt idx="4" c:formatCode="dd/mm">
                  <c:v>05/07</c:v>
                </c:pt>
                <c:pt idx="5" c:formatCode="dd/mm">
                  <c:v>06/07</c:v>
                </c:pt>
                <c:pt idx="6" c:formatCode="dd/mm">
                  <c:v>07/07</c:v>
                </c:pt>
                <c:pt idx="7" c:formatCode="dd/mm">
                  <c:v>08/07</c:v>
                </c:pt>
                <c:pt idx="8" c:formatCode="dd/mm">
                  <c:v>09/07</c:v>
                </c:pt>
                <c:pt idx="9" c:formatCode="dd/mm">
                  <c:v>10/07</c:v>
                </c:pt>
                <c:pt idx="10" c:formatCode="dd/mm">
                  <c:v>11/07</c:v>
                </c:pt>
                <c:pt idx="11" c:formatCode="dd/mm">
                  <c:v>12/07</c:v>
                </c:pt>
              </c:strCache>
            </c:strRef>
          </c:cat>
          <c:val>
            <c:numRef>
              <c:f>'02_MT'!$N$70:$N$97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1"/>
        </c:dLbls>
        <c:gapWidth val="150"/>
        <c:overlap val="0"/>
        <c:axId val="74526824"/>
        <c:axId val="42001124"/>
      </c:barChart>
      <c:catAx>
        <c:axId val="74526824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D9E2EC"/>
            </a:solidFill>
            <a:prstDash val="solid"/>
            <a:round/>
          </a:ln>
        </c:spPr>
        <c:txPr>
          <a:bodyPr rot="-1500000" spcFirstLastPara="0" vertOverflow="ellipsis" vert="horz" wrap="square" anchor="ctr" anchorCtr="1"/>
          <a:lstStyle/>
          <a:p>
            <a:pPr>
              <a:defRPr lang="en-US" sz="600" b="0" i="0" u="none" strike="noStrike" kern="1200" baseline="0">
                <a:solidFill>
                  <a:srgbClr val="000000"/>
                </a:solidFill>
                <a:uFillTx/>
                <a:latin typeface="Calibri" panose="020F0502020204030204"/>
                <a:ea typeface="Calibri" panose="020F0502020204030204"/>
                <a:cs typeface="+mn-cs"/>
              </a:defRPr>
            </a:pPr>
          </a:p>
        </c:txPr>
        <c:crossAx val="42001124"/>
        <c:crosses val="autoZero"/>
        <c:auto val="1"/>
        <c:lblAlgn val="ctr"/>
        <c:lblOffset val="100"/>
        <c:noMultiLvlLbl val="0"/>
      </c:catAx>
      <c:valAx>
        <c:axId val="42001124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0.0,,&quot; tr&quot;;[Red]\(0.0,,&quot; tr)&quot;;\-" sourceLinked="0"/>
        <c:majorTickMark val="none"/>
        <c:minorTickMark val="none"/>
        <c:tickLblPos val="nextTo"/>
        <c:spPr>
          <a:ln w="9360">
            <a:solidFill>
              <a:srgbClr val="D9E2EC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600" b="0" i="0" u="none" strike="noStrike" kern="1200" baseline="0">
                <a:solidFill>
                  <a:srgbClr val="000000"/>
                </a:solidFill>
                <a:uFillTx/>
                <a:latin typeface="Calibri" panose="020F0502020204030204"/>
                <a:ea typeface="Calibri" panose="020F0502020204030204"/>
                <a:cs typeface="+mn-cs"/>
              </a:defRPr>
            </a:pPr>
          </a:p>
        </c:txPr>
        <c:crossAx val="74526824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0e4163a4-76cb-41e2-bdd7-c110b0304081}"/>
      </c:ext>
    </c:extLst>
  </c:chart>
  <c:spPr>
    <a:ln w="9360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300" b="0" i="0" u="none" strike="noStrike" kern="1200" baseline="0">
                <a:solidFill>
                  <a:schemeClr val="tx1"/>
                </a:solidFill>
                <a:uFillTx/>
                <a:latin typeface="Arial" panose="020B0604020202020204"/>
                <a:ea typeface="+mn-ea"/>
                <a:cs typeface="+mn-cs"/>
              </a:defRPr>
            </a:pPr>
            <a:r>
              <a:rPr sz="1800" b="1" strike="noStrike">
                <a:solidFill>
                  <a:srgbClr val="000000"/>
                </a:solidFill>
                <a:uFillTx/>
                <a:latin typeface="Calibri" panose="020F0502020204030204"/>
                <a:ea typeface="Calibri" panose="020F0502020204030204"/>
              </a:rPr>
              <a:t>4 nhóm chi phí chính theo ngày</a:t>
            </a:r>
            <a:endParaRPr sz="1800" b="1" strike="noStrike">
              <a:solidFill>
                <a:srgbClr val="000000"/>
              </a:solidFill>
              <a:uFillTx/>
              <a:latin typeface="Calibri" panose="020F0502020204030204"/>
              <a:ea typeface="Calibri" panose="020F0502020204030204"/>
            </a:endParaRPr>
          </a:p>
        </c:rich>
      </c:tx>
      <c:layout/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"Giá vốn"</c:f>
              <c:strCache>
                <c:ptCount val="1"/>
                <c:pt idx="0">
                  <c:v>Giá vốn</c:v>
                </c:pt>
              </c:strCache>
            </c:strRef>
          </c:tx>
          <c:spPr>
            <a:ln w="1260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rgbClr val="000000"/>
                    </a:solidFill>
                    <a:uFillTx/>
                    <a:latin typeface="Calibri" panose="020F0502020204030204"/>
                    <a:ea typeface="Calibri" panose="020F0502020204030204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'02_MT'!$A$70:$A$97</c:f>
              <c:strCache>
                <c:ptCount val="12"/>
                <c:pt idx="0" c:formatCode="dd/mm">
                  <c:v>01/07</c:v>
                </c:pt>
                <c:pt idx="1" c:formatCode="dd/mm">
                  <c:v>02/07</c:v>
                </c:pt>
                <c:pt idx="2" c:formatCode="dd/mm">
                  <c:v>03/07</c:v>
                </c:pt>
                <c:pt idx="3" c:formatCode="dd/mm">
                  <c:v>04/07</c:v>
                </c:pt>
                <c:pt idx="4" c:formatCode="dd/mm">
                  <c:v>05/07</c:v>
                </c:pt>
                <c:pt idx="5" c:formatCode="dd/mm">
                  <c:v>06/07</c:v>
                </c:pt>
                <c:pt idx="6" c:formatCode="dd/mm">
                  <c:v>07/07</c:v>
                </c:pt>
                <c:pt idx="7" c:formatCode="dd/mm">
                  <c:v>08/07</c:v>
                </c:pt>
                <c:pt idx="8" c:formatCode="dd/mm">
                  <c:v>09/07</c:v>
                </c:pt>
                <c:pt idx="9" c:formatCode="dd/mm">
                  <c:v>10/07</c:v>
                </c:pt>
                <c:pt idx="10" c:formatCode="dd/mm">
                  <c:v>11/07</c:v>
                </c:pt>
                <c:pt idx="11" c:formatCode="dd/mm">
                  <c:v>12/07</c:v>
                </c:pt>
              </c:strCache>
            </c:strRef>
          </c:cat>
          <c:val>
            <c:numRef>
              <c:f>'02_MT'!$F$70:$F$97</c:f>
              <c:numCache>
                <c:formatCode>0.0%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strRef>
              <c:f>"Phí sàn"</c:f>
              <c:strCache>
                <c:ptCount val="1"/>
                <c:pt idx="0">
                  <c:v>Phí sàn</c:v>
                </c:pt>
              </c:strCache>
            </c:strRef>
          </c:tx>
          <c:spPr>
            <a:ln w="1260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rgbClr val="000000"/>
                    </a:solidFill>
                    <a:uFillTx/>
                    <a:latin typeface="Calibri" panose="020F0502020204030204"/>
                    <a:ea typeface="Calibri" panose="020F0502020204030204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'02_MT'!$A$70:$A$97</c:f>
              <c:strCache>
                <c:ptCount val="12"/>
                <c:pt idx="0" c:formatCode="dd/mm">
                  <c:v>01/07</c:v>
                </c:pt>
                <c:pt idx="1" c:formatCode="dd/mm">
                  <c:v>02/07</c:v>
                </c:pt>
                <c:pt idx="2" c:formatCode="dd/mm">
                  <c:v>03/07</c:v>
                </c:pt>
                <c:pt idx="3" c:formatCode="dd/mm">
                  <c:v>04/07</c:v>
                </c:pt>
                <c:pt idx="4" c:formatCode="dd/mm">
                  <c:v>05/07</c:v>
                </c:pt>
                <c:pt idx="5" c:formatCode="dd/mm">
                  <c:v>06/07</c:v>
                </c:pt>
                <c:pt idx="6" c:formatCode="dd/mm">
                  <c:v>07/07</c:v>
                </c:pt>
                <c:pt idx="7" c:formatCode="dd/mm">
                  <c:v>08/07</c:v>
                </c:pt>
                <c:pt idx="8" c:formatCode="dd/mm">
                  <c:v>09/07</c:v>
                </c:pt>
                <c:pt idx="9" c:formatCode="dd/mm">
                  <c:v>10/07</c:v>
                </c:pt>
                <c:pt idx="10" c:formatCode="dd/mm">
                  <c:v>11/07</c:v>
                </c:pt>
                <c:pt idx="11" c:formatCode="dd/mm">
                  <c:v>12/07</c:v>
                </c:pt>
              </c:strCache>
            </c:strRef>
          </c:cat>
          <c:val>
            <c:numRef>
              <c:f>'02_MT'!$G$70:$G$97</c:f>
              <c:numCache>
                <c:formatCode>#,##0</c:formatCode>
                <c:ptCount val="12"/>
                <c:pt idx="0">
                  <c:v>363656.88</c:v>
                </c:pt>
                <c:pt idx="1">
                  <c:v>27507510.31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14061627.26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2"/>
          <c:order val="2"/>
          <c:tx>
            <c:strRef>
              <c:f>"Backoffice"</c:f>
              <c:strCache>
                <c:ptCount val="1"/>
                <c:pt idx="0">
                  <c:v>Backoffice</c:v>
                </c:pt>
              </c:strCache>
            </c:strRef>
          </c:tx>
          <c:spPr>
            <a:ln w="1260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rgbClr val="000000"/>
                    </a:solidFill>
                    <a:uFillTx/>
                    <a:latin typeface="Calibri" panose="020F0502020204030204"/>
                    <a:ea typeface="Calibri" panose="020F0502020204030204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'02_MT'!$A$70:$A$97</c:f>
              <c:strCache>
                <c:ptCount val="12"/>
                <c:pt idx="0" c:formatCode="dd/mm">
                  <c:v>01/07</c:v>
                </c:pt>
                <c:pt idx="1" c:formatCode="dd/mm">
                  <c:v>02/07</c:v>
                </c:pt>
                <c:pt idx="2" c:formatCode="dd/mm">
                  <c:v>03/07</c:v>
                </c:pt>
                <c:pt idx="3" c:formatCode="dd/mm">
                  <c:v>04/07</c:v>
                </c:pt>
                <c:pt idx="4" c:formatCode="dd/mm">
                  <c:v>05/07</c:v>
                </c:pt>
                <c:pt idx="5" c:formatCode="dd/mm">
                  <c:v>06/07</c:v>
                </c:pt>
                <c:pt idx="6" c:formatCode="dd/mm">
                  <c:v>07/07</c:v>
                </c:pt>
                <c:pt idx="7" c:formatCode="dd/mm">
                  <c:v>08/07</c:v>
                </c:pt>
                <c:pt idx="8" c:formatCode="dd/mm">
                  <c:v>09/07</c:v>
                </c:pt>
                <c:pt idx="9" c:formatCode="dd/mm">
                  <c:v>10/07</c:v>
                </c:pt>
                <c:pt idx="10" c:formatCode="dd/mm">
                  <c:v>11/07</c:v>
                </c:pt>
                <c:pt idx="11" c:formatCode="dd/mm">
                  <c:v>12/07</c:v>
                </c:pt>
              </c:strCache>
            </c:strRef>
          </c:cat>
          <c:val>
            <c:numRef>
              <c:f>'02_MT'!$I$70:$I$97</c:f>
              <c:numCache>
                <c:formatCode>#,##0</c:formatCode>
                <c:ptCount val="12"/>
                <c:pt idx="0">
                  <c:v>18603</c:v>
                </c:pt>
                <c:pt idx="1">
                  <c:v>1259770.3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1042724.94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3"/>
          <c:order val="3"/>
          <c:tx>
            <c:strRef>
              <c:f>"Ads"</c:f>
              <c:strCache>
                <c:ptCount val="1"/>
                <c:pt idx="0">
                  <c:v>Ads</c:v>
                </c:pt>
              </c:strCache>
            </c:strRef>
          </c:tx>
          <c:spPr>
            <a:ln w="1260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rgbClr val="000000"/>
                    </a:solidFill>
                    <a:uFillTx/>
                    <a:latin typeface="Calibri" panose="020F0502020204030204"/>
                    <a:ea typeface="Calibri" panose="020F0502020204030204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'02_MT'!$A$70:$A$97</c:f>
              <c:strCache>
                <c:ptCount val="12"/>
                <c:pt idx="0" c:formatCode="dd/mm">
                  <c:v>01/07</c:v>
                </c:pt>
                <c:pt idx="1" c:formatCode="dd/mm">
                  <c:v>02/07</c:v>
                </c:pt>
                <c:pt idx="2" c:formatCode="dd/mm">
                  <c:v>03/07</c:v>
                </c:pt>
                <c:pt idx="3" c:formatCode="dd/mm">
                  <c:v>04/07</c:v>
                </c:pt>
                <c:pt idx="4" c:formatCode="dd/mm">
                  <c:v>05/07</c:v>
                </c:pt>
                <c:pt idx="5" c:formatCode="dd/mm">
                  <c:v>06/07</c:v>
                </c:pt>
                <c:pt idx="6" c:formatCode="dd/mm">
                  <c:v>07/07</c:v>
                </c:pt>
                <c:pt idx="7" c:formatCode="dd/mm">
                  <c:v>08/07</c:v>
                </c:pt>
                <c:pt idx="8" c:formatCode="dd/mm">
                  <c:v>09/07</c:v>
                </c:pt>
                <c:pt idx="9" c:formatCode="dd/mm">
                  <c:v>10/07</c:v>
                </c:pt>
                <c:pt idx="10" c:formatCode="dd/mm">
                  <c:v>11/07</c:v>
                </c:pt>
                <c:pt idx="11" c:formatCode="dd/mm">
                  <c:v>12/07</c:v>
                </c:pt>
              </c:strCache>
            </c:strRef>
          </c:cat>
          <c:val>
            <c:numRef>
              <c:f>'02_MT'!$J$70:$J$97</c:f>
              <c:numCache>
                <c:formatCode>#,##0</c:formatCode>
                <c:ptCount val="12"/>
                <c:pt idx="0">
                  <c:v>139522.5</c:v>
                </c:pt>
                <c:pt idx="1">
                  <c:v>9448277.25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7820437.05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1"/>
        </c:dLbls>
        <c:gapWidth val="150"/>
        <c:overlap val="0"/>
        <c:axId val="90006512"/>
        <c:axId val="15551505"/>
      </c:barChart>
      <c:catAx>
        <c:axId val="90006512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D9E2EC"/>
            </a:solidFill>
            <a:prstDash val="solid"/>
            <a:round/>
          </a:ln>
        </c:spPr>
        <c:txPr>
          <a:bodyPr rot="-1500000" spcFirstLastPara="0" vertOverflow="ellipsis" vert="horz" wrap="square" anchor="ctr" anchorCtr="1"/>
          <a:lstStyle/>
          <a:p>
            <a:pPr>
              <a:defRPr lang="en-US" sz="600" b="0" i="0" u="none" strike="noStrike" kern="1200" baseline="0">
                <a:solidFill>
                  <a:srgbClr val="000000"/>
                </a:solidFill>
                <a:uFillTx/>
                <a:latin typeface="Calibri" panose="020F0502020204030204"/>
                <a:ea typeface="Calibri" panose="020F0502020204030204"/>
                <a:cs typeface="+mn-cs"/>
              </a:defRPr>
            </a:pPr>
          </a:p>
        </c:txPr>
        <c:crossAx val="15551505"/>
        <c:crosses val="autoZero"/>
        <c:auto val="1"/>
        <c:lblAlgn val="ctr"/>
        <c:lblOffset val="100"/>
        <c:noMultiLvlLbl val="0"/>
      </c:catAx>
      <c:valAx>
        <c:axId val="15551505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0.0,,&quot; tr&quot;;[Red]\(0.0,,&quot; tr)&quot;;\-" sourceLinked="0"/>
        <c:majorTickMark val="none"/>
        <c:minorTickMark val="none"/>
        <c:tickLblPos val="nextTo"/>
        <c:spPr>
          <a:ln w="9360">
            <a:solidFill>
              <a:srgbClr val="D9E2EC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600" b="0" i="0" u="none" strike="noStrike" kern="1200" baseline="0">
                <a:solidFill>
                  <a:srgbClr val="000000"/>
                </a:solidFill>
                <a:uFillTx/>
                <a:latin typeface="Calibri" panose="020F0502020204030204"/>
                <a:ea typeface="Calibri" panose="020F0502020204030204"/>
                <a:cs typeface="+mn-cs"/>
              </a:defRPr>
            </a:pPr>
          </a:p>
        </c:txPr>
        <c:crossAx val="90006512"/>
        <c:crosses val="autoZero"/>
        <c:crossBetween val="between"/>
      </c:valAx>
    </c:plotArea>
    <c:legend>
      <c:legendPos val="b"/>
      <c:layout/>
      <c:overlay val="0"/>
      <c:spPr>
        <a:noFill/>
        <a:ln w="0">
          <a:noFill/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rgbClr val="000000"/>
              </a:solidFill>
              <a:uFillTx/>
              <a:latin typeface="Calibri" panose="020F0502020204030204"/>
              <a:ea typeface="Calibri" panose="020F0502020204030204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0fd5a9e-828d-4a5c-9a4b-5e1e990d3cfb}"/>
      </c:ext>
    </c:extLst>
  </c:chart>
  <c:spPr>
    <a:ln w="9360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300" b="0" i="0" u="none" strike="noStrike" kern="1200" baseline="0">
                <a:solidFill>
                  <a:schemeClr val="tx1"/>
                </a:solidFill>
                <a:uFillTx/>
                <a:latin typeface="Arial" panose="020B0604020202020204"/>
                <a:ea typeface="+mn-ea"/>
                <a:cs typeface="+mn-cs"/>
              </a:defRPr>
            </a:pPr>
            <a:r>
              <a:rPr sz="1800" b="1" strike="noStrike">
                <a:solidFill>
                  <a:srgbClr val="000000"/>
                </a:solidFill>
                <a:uFillTx/>
                <a:latin typeface="Calibri" panose="020F0502020204030204"/>
                <a:ea typeface="Calibri" panose="020F0502020204030204"/>
              </a:rPr>
              <a:t>Cơ cấu chi phí tháng</a:t>
            </a:r>
            <a:endParaRPr sz="1800" b="1" strike="noStrike">
              <a:solidFill>
                <a:srgbClr val="000000"/>
              </a:solidFill>
              <a:uFillTx/>
              <a:latin typeface="Calibri" panose="020F0502020204030204"/>
              <a:ea typeface="Calibri" panose="020F0502020204030204"/>
            </a:endParaRPr>
          </a:p>
        </c:rich>
      </c:tx>
      <c:layout/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"Chi phí"</c:f>
              <c:strCache>
                <c:ptCount val="1"/>
                <c:pt idx="0">
                  <c:v>Chi phí</c:v>
                </c:pt>
              </c:strCache>
            </c:strRef>
          </c:tx>
          <c:spPr>
            <a:ln w="1260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rgbClr val="000000"/>
                    </a:solidFill>
                    <a:uFillTx/>
                    <a:latin typeface="Calibri" panose="020F0502020204030204"/>
                    <a:ea typeface="Calibri" panose="020F0502020204030204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'02_MT'!$R$31:$R$37</c:f>
              <c:strCache>
                <c:ptCount val="7"/>
                <c:pt idx="0">
                  <c:v>Backoffice fee</c:v>
                </c:pt>
                <c:pt idx="1">
                  <c:v>Shipping / return fee</c:v>
                </c:pt>
                <c:pt idx="2">
                  <c:v>Packaging cost</c:v>
                </c:pt>
                <c:pt idx="3">
                  <c:v>Live cost</c:v>
                </c:pt>
                <c:pt idx="4">
                  <c:v>Booking fee</c:v>
                </c:pt>
                <c:pt idx="5">
                  <c:v>Platform fees</c:v>
                </c:pt>
                <c:pt idx="6">
                  <c:v>Ads cost</c:v>
                </c:pt>
              </c:strCache>
            </c:strRef>
          </c:cat>
          <c:val>
            <c:numRef>
              <c:f>'02_MT'!$S$31:$S$37</c:f>
              <c:numCache>
                <c:formatCode>#,##0</c:formatCode>
                <c:ptCount val="7"/>
                <c:pt idx="0">
                  <c:v>17408236.8</c:v>
                </c:pt>
                <c:pt idx="1">
                  <c:v>2321098.24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1"/>
        </c:dLbls>
        <c:gapWidth val="150"/>
        <c:overlap val="0"/>
        <c:axId val="52601706"/>
        <c:axId val="74553059"/>
      </c:barChart>
      <c:catAx>
        <c:axId val="52601706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D9E2EC"/>
            </a:solidFill>
            <a:prstDash val="solid"/>
            <a:round/>
          </a:ln>
        </c:spPr>
        <c:txPr>
          <a:bodyPr rot="-1500000" spcFirstLastPara="0" vertOverflow="ellipsis" vert="horz" wrap="square" anchor="ctr" anchorCtr="1"/>
          <a:lstStyle/>
          <a:p>
            <a:pPr>
              <a:defRPr lang="en-US" sz="600" b="0" i="0" u="none" strike="noStrike" kern="1200" baseline="0">
                <a:solidFill>
                  <a:srgbClr val="000000"/>
                </a:solidFill>
                <a:uFillTx/>
                <a:latin typeface="Calibri" panose="020F0502020204030204"/>
                <a:ea typeface="Calibri" panose="020F0502020204030204"/>
                <a:cs typeface="+mn-cs"/>
              </a:defRPr>
            </a:pPr>
          </a:p>
        </c:txPr>
        <c:crossAx val="74553059"/>
        <c:crosses val="autoZero"/>
        <c:auto val="1"/>
        <c:lblAlgn val="ctr"/>
        <c:lblOffset val="100"/>
        <c:noMultiLvlLbl val="0"/>
      </c:catAx>
      <c:valAx>
        <c:axId val="74553059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0.0,,&quot; tr&quot;;[Red]\(0.0,,&quot; tr)&quot;;\-" sourceLinked="0"/>
        <c:majorTickMark val="none"/>
        <c:minorTickMark val="none"/>
        <c:tickLblPos val="nextTo"/>
        <c:spPr>
          <a:ln w="9360">
            <a:solidFill>
              <a:srgbClr val="D9E2EC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600" b="0" i="0" u="none" strike="noStrike" kern="1200" baseline="0">
                <a:solidFill>
                  <a:srgbClr val="000000"/>
                </a:solidFill>
                <a:uFillTx/>
                <a:latin typeface="Calibri" panose="020F0502020204030204"/>
                <a:ea typeface="Calibri" panose="020F0502020204030204"/>
                <a:cs typeface="+mn-cs"/>
              </a:defRPr>
            </a:pPr>
          </a:p>
        </c:txPr>
        <c:crossAx val="52601706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65d7a1de-cf61-40d9-81d4-da72e358f85f}"/>
      </c:ext>
    </c:extLst>
  </c:chart>
  <c:spPr>
    <a:ln w="9360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300" b="0" i="0" u="none" strike="noStrike" kern="1200" baseline="0">
                <a:solidFill>
                  <a:schemeClr val="tx1"/>
                </a:solidFill>
                <a:uFillTx/>
                <a:latin typeface="Arial" panose="020B0604020202020204"/>
                <a:ea typeface="+mn-ea"/>
                <a:cs typeface="+mn-cs"/>
              </a:defRPr>
            </a:pPr>
            <a:r>
              <a:rPr sz="1800" b="1" strike="noStrike">
                <a:solidFill>
                  <a:srgbClr val="000000"/>
                </a:solidFill>
                <a:uFillTx/>
                <a:latin typeface="Calibri" panose="020F0502020204030204"/>
                <a:ea typeface="Calibri" panose="020F0502020204030204"/>
              </a:rPr>
              <a:t>Doanh thu thuần theo ngày: hiện tại vs kỳ trước</a:t>
            </a:r>
            <a:endParaRPr sz="1800" b="1" strike="noStrike">
              <a:solidFill>
                <a:srgbClr val="000000"/>
              </a:solidFill>
              <a:uFillTx/>
              <a:latin typeface="Calibri" panose="020F0502020204030204"/>
              <a:ea typeface="Calibri" panose="020F0502020204030204"/>
            </a:endParaRPr>
          </a:p>
        </c:rich>
      </c:tx>
      <c:layout/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"Hiện tại"</c:f>
              <c:strCache>
                <c:ptCount val="1"/>
                <c:pt idx="0">
                  <c:v>Hiện tại</c:v>
                </c:pt>
              </c:strCache>
            </c:strRef>
          </c:tx>
          <c:spPr>
            <a:ln w="12600" cap="rnd">
              <a:solidFill>
                <a:srgbClr val="156082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rgbClr val="000000"/>
                    </a:solidFill>
                    <a:uFillTx/>
                    <a:latin typeface="Calibri" panose="020F0502020204030204"/>
                    <a:ea typeface="Calibri" panose="020F0502020204030204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'03_Nhanh'!$A$70:$A$97</c:f>
              <c:strCache>
                <c:ptCount val="12"/>
                <c:pt idx="0" c:formatCode="dd/mm">
                  <c:v>01/07</c:v>
                </c:pt>
                <c:pt idx="1" c:formatCode="dd/mm">
                  <c:v>02/07</c:v>
                </c:pt>
                <c:pt idx="2" c:formatCode="dd/mm">
                  <c:v>03/07</c:v>
                </c:pt>
                <c:pt idx="3" c:formatCode="dd/mm">
                  <c:v>04/07</c:v>
                </c:pt>
                <c:pt idx="4" c:formatCode="dd/mm">
                  <c:v>05/07</c:v>
                </c:pt>
                <c:pt idx="5" c:formatCode="dd/mm">
                  <c:v>06/07</c:v>
                </c:pt>
                <c:pt idx="6" c:formatCode="dd/mm">
                  <c:v>07/07</c:v>
                </c:pt>
                <c:pt idx="7" c:formatCode="dd/mm">
                  <c:v>08/07</c:v>
                </c:pt>
                <c:pt idx="8" c:formatCode="dd/mm">
                  <c:v>09/07</c:v>
                </c:pt>
                <c:pt idx="9" c:formatCode="dd/mm">
                  <c:v>10/07</c:v>
                </c:pt>
                <c:pt idx="10" c:formatCode="dd/mm">
                  <c:v>11/07</c:v>
                </c:pt>
                <c:pt idx="11" c:formatCode="dd/mm">
                  <c:v>12/07</c:v>
                </c:pt>
              </c:strCache>
            </c:strRef>
          </c:cat>
          <c:val>
            <c:numRef>
              <c:f>'03_Nhanh'!$C$70:$C$97</c:f>
              <c:numCache>
                <c:formatCode>#,##0</c:formatCode>
                <c:ptCount val="12"/>
                <c:pt idx="0">
                  <c:v>6820000</c:v>
                </c:pt>
                <c:pt idx="1">
                  <c:v>8038000</c:v>
                </c:pt>
                <c:pt idx="2">
                  <c:v>3084000</c:v>
                </c:pt>
                <c:pt idx="3">
                  <c:v>3949000</c:v>
                </c:pt>
                <c:pt idx="4">
                  <c:v>358000</c:v>
                </c:pt>
                <c:pt idx="5">
                  <c:v>5325000</c:v>
                </c:pt>
                <c:pt idx="6">
                  <c:v>4927000</c:v>
                </c:pt>
                <c:pt idx="7">
                  <c:v>13175000</c:v>
                </c:pt>
                <c:pt idx="8">
                  <c:v>12065000</c:v>
                </c:pt>
                <c:pt idx="9">
                  <c:v>8234000</c:v>
                </c:pt>
                <c:pt idx="10">
                  <c:v>2169000</c:v>
                </c:pt>
                <c:pt idx="11">
                  <c:v>3184000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"Kỳ trước"</c:f>
              <c:strCache>
                <c:ptCount val="1"/>
                <c:pt idx="0">
                  <c:v>Kỳ trước</c:v>
                </c:pt>
              </c:strCache>
            </c:strRef>
          </c:tx>
          <c:spPr>
            <a:ln w="12600" cap="rnd">
              <a:solidFill>
                <a:srgbClr val="E97132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rgbClr val="000000"/>
                    </a:solidFill>
                    <a:uFillTx/>
                    <a:latin typeface="Calibri" panose="020F0502020204030204"/>
                    <a:ea typeface="Calibri" panose="020F0502020204030204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'03_Nhanh'!$A$70:$A$97</c:f>
              <c:strCache>
                <c:ptCount val="12"/>
                <c:pt idx="0" c:formatCode="dd/mm">
                  <c:v>01/07</c:v>
                </c:pt>
                <c:pt idx="1" c:formatCode="dd/mm">
                  <c:v>02/07</c:v>
                </c:pt>
                <c:pt idx="2" c:formatCode="dd/mm">
                  <c:v>03/07</c:v>
                </c:pt>
                <c:pt idx="3" c:formatCode="dd/mm">
                  <c:v>04/07</c:v>
                </c:pt>
                <c:pt idx="4" c:formatCode="dd/mm">
                  <c:v>05/07</c:v>
                </c:pt>
                <c:pt idx="5" c:formatCode="dd/mm">
                  <c:v>06/07</c:v>
                </c:pt>
                <c:pt idx="6" c:formatCode="dd/mm">
                  <c:v>07/07</c:v>
                </c:pt>
                <c:pt idx="7" c:formatCode="dd/mm">
                  <c:v>08/07</c:v>
                </c:pt>
                <c:pt idx="8" c:formatCode="dd/mm">
                  <c:v>09/07</c:v>
                </c:pt>
                <c:pt idx="9" c:formatCode="dd/mm">
                  <c:v>10/07</c:v>
                </c:pt>
                <c:pt idx="10" c:formatCode="dd/mm">
                  <c:v>11/07</c:v>
                </c:pt>
                <c:pt idx="11" c:formatCode="dd/mm">
                  <c:v>12/07</c:v>
                </c:pt>
              </c:strCache>
            </c:strRef>
          </c:cat>
          <c:val>
            <c:numRef>
              <c:f>'03_Nhanh'!$P$70:$P$97</c:f>
              <c:numCache>
                <c:formatCode>#,##0</c:formatCode>
                <c:ptCount val="12"/>
                <c:pt idx="0">
                  <c:v>536706.92</c:v>
                </c:pt>
                <c:pt idx="1">
                  <c:v>1492675.95</c:v>
                </c:pt>
                <c:pt idx="2">
                  <c:v>-1424249.46</c:v>
                </c:pt>
                <c:pt idx="3">
                  <c:v>-585754.13</c:v>
                </c:pt>
                <c:pt idx="4">
                  <c:v>-472562.92</c:v>
                </c:pt>
                <c:pt idx="5">
                  <c:v>21171.55</c:v>
                </c:pt>
                <c:pt idx="6">
                  <c:v>-1458114.54</c:v>
                </c:pt>
                <c:pt idx="7">
                  <c:v>2087480.93</c:v>
                </c:pt>
                <c:pt idx="8">
                  <c:v>1174522.77</c:v>
                </c:pt>
                <c:pt idx="9">
                  <c:v>-1641272.04</c:v>
                </c:pt>
                <c:pt idx="10">
                  <c:v>-4278058</c:v>
                </c:pt>
                <c:pt idx="11">
                  <c:v>-4616280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1"/>
        </c:dLbls>
        <c:hiLowLines>
          <c:spPr>
            <a:ln w="0">
              <a:noFill/>
              <a:prstDash val="solid"/>
              <a:round/>
            </a:ln>
          </c:spPr>
        </c:hiLowLines>
        <c:marker val="0"/>
        <c:smooth val="0"/>
        <c:axId val="53309172"/>
        <c:axId val="56145199"/>
      </c:lineChart>
      <c:catAx>
        <c:axId val="53309172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D9E2EC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600" b="0" i="0" u="none" strike="noStrike" kern="1200" baseline="0">
                <a:solidFill>
                  <a:srgbClr val="000000"/>
                </a:solidFill>
                <a:uFillTx/>
                <a:latin typeface="Calibri" panose="020F0502020204030204"/>
                <a:ea typeface="Calibri" panose="020F0502020204030204"/>
                <a:cs typeface="+mn-cs"/>
              </a:defRPr>
            </a:pPr>
          </a:p>
        </c:txPr>
        <c:crossAx val="56145199"/>
        <c:crosses val="autoZero"/>
        <c:auto val="1"/>
        <c:lblAlgn val="ctr"/>
        <c:lblOffset val="100"/>
        <c:noMultiLvlLbl val="0"/>
      </c:catAx>
      <c:valAx>
        <c:axId val="56145199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0.0,,&quot; tr&quot;;[Red]\(0.0,,&quot; tr)&quot;;\-" sourceLinked="0"/>
        <c:majorTickMark val="none"/>
        <c:minorTickMark val="none"/>
        <c:tickLblPos val="nextTo"/>
        <c:spPr>
          <a:ln w="9360">
            <a:solidFill>
              <a:srgbClr val="D9E2EC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600" b="0" i="0" u="none" strike="noStrike" kern="1200" baseline="0">
                <a:solidFill>
                  <a:srgbClr val="000000"/>
                </a:solidFill>
                <a:uFillTx/>
                <a:latin typeface="Calibri" panose="020F0502020204030204"/>
                <a:ea typeface="Calibri" panose="020F0502020204030204"/>
                <a:cs typeface="+mn-cs"/>
              </a:defRPr>
            </a:pPr>
          </a:p>
        </c:txPr>
        <c:crossAx val="53309172"/>
        <c:crosses val="autoZero"/>
        <c:crossBetween val="between"/>
      </c:valAx>
    </c:plotArea>
    <c:legend>
      <c:legendPos val="b"/>
      <c:layout/>
      <c:overlay val="0"/>
      <c:spPr>
        <a:noFill/>
        <a:ln w="0">
          <a:noFill/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rgbClr val="000000"/>
              </a:solidFill>
              <a:uFillTx/>
              <a:latin typeface="Calibri" panose="020F0502020204030204"/>
              <a:ea typeface="Calibri" panose="020F0502020204030204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5aa7e82-a6a6-4bac-aacc-cff9cc7d403c}"/>
      </c:ext>
    </c:extLst>
  </c:chart>
  <c:spPr>
    <a:ln w="9360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300" b="0" i="0" u="none" strike="noStrike" kern="1200" baseline="0">
                <a:solidFill>
                  <a:schemeClr val="tx1"/>
                </a:solidFill>
                <a:uFillTx/>
                <a:latin typeface="Arial" panose="020B0604020202020204"/>
                <a:ea typeface="+mn-ea"/>
                <a:cs typeface="+mn-cs"/>
              </a:defRPr>
            </a:pPr>
            <a:r>
              <a:rPr sz="1800" b="1" strike="noStrike">
                <a:solidFill>
                  <a:srgbClr val="000000"/>
                </a:solidFill>
                <a:uFillTx/>
                <a:latin typeface="Calibri" panose="020F0502020204030204"/>
                <a:ea typeface="Calibri" panose="020F0502020204030204"/>
              </a:rPr>
              <a:t>Lợi nhuận theo ngày</a:t>
            </a:r>
            <a:endParaRPr sz="1800" b="1" strike="noStrike">
              <a:solidFill>
                <a:srgbClr val="000000"/>
              </a:solidFill>
              <a:uFillTx/>
              <a:latin typeface="Calibri" panose="020F0502020204030204"/>
              <a:ea typeface="Calibri" panose="020F0502020204030204"/>
            </a:endParaRPr>
          </a:p>
        </c:rich>
      </c:tx>
      <c:layout/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"Lợi nhuận"</c:f>
              <c:strCache>
                <c:ptCount val="1"/>
                <c:pt idx="0">
                  <c:v>Lợi nhuận</c:v>
                </c:pt>
              </c:strCache>
            </c:strRef>
          </c:tx>
          <c:spPr>
            <a:ln w="1260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rgbClr val="000000"/>
                    </a:solidFill>
                    <a:uFillTx/>
                    <a:latin typeface="Calibri" panose="020F0502020204030204"/>
                    <a:ea typeface="Calibri" panose="020F0502020204030204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'03_Nhanh'!$A$70:$A$97</c:f>
              <c:strCache>
                <c:ptCount val="12"/>
                <c:pt idx="0" c:formatCode="dd/mm">
                  <c:v>01/07</c:v>
                </c:pt>
                <c:pt idx="1" c:formatCode="dd/mm">
                  <c:v>02/07</c:v>
                </c:pt>
                <c:pt idx="2" c:formatCode="dd/mm">
                  <c:v>03/07</c:v>
                </c:pt>
                <c:pt idx="3" c:formatCode="dd/mm">
                  <c:v>04/07</c:v>
                </c:pt>
                <c:pt idx="4" c:formatCode="dd/mm">
                  <c:v>05/07</c:v>
                </c:pt>
                <c:pt idx="5" c:formatCode="dd/mm">
                  <c:v>06/07</c:v>
                </c:pt>
                <c:pt idx="6" c:formatCode="dd/mm">
                  <c:v>07/07</c:v>
                </c:pt>
                <c:pt idx="7" c:formatCode="dd/mm">
                  <c:v>08/07</c:v>
                </c:pt>
                <c:pt idx="8" c:formatCode="dd/mm">
                  <c:v>09/07</c:v>
                </c:pt>
                <c:pt idx="9" c:formatCode="dd/mm">
                  <c:v>10/07</c:v>
                </c:pt>
                <c:pt idx="10" c:formatCode="dd/mm">
                  <c:v>11/07</c:v>
                </c:pt>
                <c:pt idx="11" c:formatCode="dd/mm">
                  <c:v>12/07</c:v>
                </c:pt>
              </c:strCache>
            </c:strRef>
          </c:cat>
          <c:val>
            <c:numRef>
              <c:f>'03_Nhanh'!$N$70:$N$97</c:f>
              <c:numCache>
                <c:formatCode>#,##0</c:formatCode>
                <c:ptCount val="12"/>
                <c:pt idx="0">
                  <c:v>104000</c:v>
                </c:pt>
                <c:pt idx="1">
                  <c:v>116000</c:v>
                </c:pt>
                <c:pt idx="2">
                  <c:v>50000</c:v>
                </c:pt>
                <c:pt idx="3">
                  <c:v>64000</c:v>
                </c:pt>
                <c:pt idx="4">
                  <c:v>6000</c:v>
                </c:pt>
                <c:pt idx="5">
                  <c:v>82000</c:v>
                </c:pt>
                <c:pt idx="6">
                  <c:v>70000</c:v>
                </c:pt>
                <c:pt idx="7">
                  <c:v>184000</c:v>
                </c:pt>
                <c:pt idx="8">
                  <c:v>174000</c:v>
                </c:pt>
                <c:pt idx="9">
                  <c:v>120000</c:v>
                </c:pt>
                <c:pt idx="10">
                  <c:v>32000</c:v>
                </c:pt>
                <c:pt idx="11">
                  <c:v>48000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1"/>
        </c:dLbls>
        <c:gapWidth val="150"/>
        <c:overlap val="0"/>
        <c:axId val="17823684"/>
        <c:axId val="2384799"/>
      </c:barChart>
      <c:catAx>
        <c:axId val="17823684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D9E2EC"/>
            </a:solidFill>
            <a:prstDash val="solid"/>
            <a:round/>
          </a:ln>
        </c:spPr>
        <c:txPr>
          <a:bodyPr rot="-1500000" spcFirstLastPara="0" vertOverflow="ellipsis" vert="horz" wrap="square" anchor="ctr" anchorCtr="1"/>
          <a:lstStyle/>
          <a:p>
            <a:pPr>
              <a:defRPr lang="en-US" sz="600" b="0" i="0" u="none" strike="noStrike" kern="1200" baseline="0">
                <a:solidFill>
                  <a:srgbClr val="000000"/>
                </a:solidFill>
                <a:uFillTx/>
                <a:latin typeface="Calibri" panose="020F0502020204030204"/>
                <a:ea typeface="Calibri" panose="020F0502020204030204"/>
                <a:cs typeface="+mn-cs"/>
              </a:defRPr>
            </a:pPr>
          </a:p>
        </c:txPr>
        <c:crossAx val="2384799"/>
        <c:crosses val="autoZero"/>
        <c:auto val="1"/>
        <c:lblAlgn val="ctr"/>
        <c:lblOffset val="100"/>
        <c:noMultiLvlLbl val="0"/>
      </c:catAx>
      <c:valAx>
        <c:axId val="2384799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0.0,,&quot; tr&quot;;[Red]\(0.0,,&quot; tr)&quot;;\-" sourceLinked="0"/>
        <c:majorTickMark val="none"/>
        <c:minorTickMark val="none"/>
        <c:tickLblPos val="nextTo"/>
        <c:spPr>
          <a:ln w="9360">
            <a:solidFill>
              <a:srgbClr val="D9E2EC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600" b="0" i="0" u="none" strike="noStrike" kern="1200" baseline="0">
                <a:solidFill>
                  <a:srgbClr val="000000"/>
                </a:solidFill>
                <a:uFillTx/>
                <a:latin typeface="Calibri" panose="020F0502020204030204"/>
                <a:ea typeface="Calibri" panose="020F0502020204030204"/>
                <a:cs typeface="+mn-cs"/>
              </a:defRPr>
            </a:pPr>
          </a:p>
        </c:txPr>
        <c:crossAx val="17823684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c51a4dc6-40b4-49a6-b9c1-845c642ce7e4}"/>
      </c:ext>
    </c:extLst>
  </c:chart>
  <c:spPr>
    <a:ln w="9360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300" b="0" i="0" u="none" strike="noStrike" kern="1200" baseline="0">
                <a:solidFill>
                  <a:schemeClr val="tx1"/>
                </a:solidFill>
                <a:uFillTx/>
                <a:latin typeface="Arial" panose="020B0604020202020204"/>
                <a:ea typeface="+mn-ea"/>
                <a:cs typeface="+mn-cs"/>
              </a:defRPr>
            </a:pPr>
            <a:r>
              <a:rPr sz="1800" b="1" strike="noStrike">
                <a:solidFill>
                  <a:srgbClr val="000000"/>
                </a:solidFill>
                <a:uFillTx/>
                <a:latin typeface="Calibri" panose="020F0502020204030204"/>
                <a:ea typeface="Calibri" panose="020F0502020204030204"/>
              </a:rPr>
              <a:t>4 nhóm chi phí chính theo ngày</a:t>
            </a:r>
            <a:endParaRPr sz="1800" b="1" strike="noStrike">
              <a:solidFill>
                <a:srgbClr val="000000"/>
              </a:solidFill>
              <a:uFillTx/>
              <a:latin typeface="Calibri" panose="020F0502020204030204"/>
              <a:ea typeface="Calibri" panose="020F0502020204030204"/>
            </a:endParaRPr>
          </a:p>
        </c:rich>
      </c:tx>
      <c:layout/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"Giá vốn"</c:f>
              <c:strCache>
                <c:ptCount val="1"/>
                <c:pt idx="0">
                  <c:v>Giá vốn</c:v>
                </c:pt>
              </c:strCache>
            </c:strRef>
          </c:tx>
          <c:spPr>
            <a:ln w="1260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rgbClr val="000000"/>
                    </a:solidFill>
                    <a:uFillTx/>
                    <a:latin typeface="Calibri" panose="020F0502020204030204"/>
                    <a:ea typeface="Calibri" panose="020F0502020204030204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'03_Nhanh'!$A$70:$A$97</c:f>
              <c:strCache>
                <c:ptCount val="12"/>
                <c:pt idx="0" c:formatCode="dd/mm">
                  <c:v>01/07</c:v>
                </c:pt>
                <c:pt idx="1" c:formatCode="dd/mm">
                  <c:v>02/07</c:v>
                </c:pt>
                <c:pt idx="2" c:formatCode="dd/mm">
                  <c:v>03/07</c:v>
                </c:pt>
                <c:pt idx="3" c:formatCode="dd/mm">
                  <c:v>04/07</c:v>
                </c:pt>
                <c:pt idx="4" c:formatCode="dd/mm">
                  <c:v>05/07</c:v>
                </c:pt>
                <c:pt idx="5" c:formatCode="dd/mm">
                  <c:v>06/07</c:v>
                </c:pt>
                <c:pt idx="6" c:formatCode="dd/mm">
                  <c:v>07/07</c:v>
                </c:pt>
                <c:pt idx="7" c:formatCode="dd/mm">
                  <c:v>08/07</c:v>
                </c:pt>
                <c:pt idx="8" c:formatCode="dd/mm">
                  <c:v>09/07</c:v>
                </c:pt>
                <c:pt idx="9" c:formatCode="dd/mm">
                  <c:v>10/07</c:v>
                </c:pt>
                <c:pt idx="10" c:formatCode="dd/mm">
                  <c:v>11/07</c:v>
                </c:pt>
                <c:pt idx="11" c:formatCode="dd/mm">
                  <c:v>12/07</c:v>
                </c:pt>
              </c:strCache>
            </c:strRef>
          </c:cat>
          <c:val>
            <c:numRef>
              <c:f>'03_Nhanh'!$F$70:$F$97</c:f>
              <c:numCache>
                <c:formatCode>0.0%</c:formatCode>
                <c:ptCount val="12"/>
                <c:pt idx="0">
                  <c:v>0.0769230769230769</c:v>
                </c:pt>
                <c:pt idx="1">
                  <c:v>0.0434782608695652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strRef>
              <c:f>"Phí sàn"</c:f>
              <c:strCache>
                <c:ptCount val="1"/>
                <c:pt idx="0">
                  <c:v>Phí sàn</c:v>
                </c:pt>
              </c:strCache>
            </c:strRef>
          </c:tx>
          <c:spPr>
            <a:ln w="1260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rgbClr val="000000"/>
                    </a:solidFill>
                    <a:uFillTx/>
                    <a:latin typeface="Calibri" panose="020F0502020204030204"/>
                    <a:ea typeface="Calibri" panose="020F0502020204030204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'03_Nhanh'!$A$70:$A$97</c:f>
              <c:strCache>
                <c:ptCount val="12"/>
                <c:pt idx="0" c:formatCode="dd/mm">
                  <c:v>01/07</c:v>
                </c:pt>
                <c:pt idx="1" c:formatCode="dd/mm">
                  <c:v>02/07</c:v>
                </c:pt>
                <c:pt idx="2" c:formatCode="dd/mm">
                  <c:v>03/07</c:v>
                </c:pt>
                <c:pt idx="3" c:formatCode="dd/mm">
                  <c:v>04/07</c:v>
                </c:pt>
                <c:pt idx="4" c:formatCode="dd/mm">
                  <c:v>05/07</c:v>
                </c:pt>
                <c:pt idx="5" c:formatCode="dd/mm">
                  <c:v>06/07</c:v>
                </c:pt>
                <c:pt idx="6" c:formatCode="dd/mm">
                  <c:v>07/07</c:v>
                </c:pt>
                <c:pt idx="7" c:formatCode="dd/mm">
                  <c:v>08/07</c:v>
                </c:pt>
                <c:pt idx="8" c:formatCode="dd/mm">
                  <c:v>09/07</c:v>
                </c:pt>
                <c:pt idx="9" c:formatCode="dd/mm">
                  <c:v>10/07</c:v>
                </c:pt>
                <c:pt idx="10" c:formatCode="dd/mm">
                  <c:v>11/07</c:v>
                </c:pt>
                <c:pt idx="11" c:formatCode="dd/mm">
                  <c:v>12/07</c:v>
                </c:pt>
              </c:strCache>
            </c:strRef>
          </c:cat>
          <c:val>
            <c:numRef>
              <c:f>'03_Nhanh'!$G$70:$G$97</c:f>
              <c:numCache>
                <c:formatCode>#,##0</c:formatCode>
                <c:ptCount val="12"/>
                <c:pt idx="0">
                  <c:v>2096799.08</c:v>
                </c:pt>
                <c:pt idx="1">
                  <c:v>2275350.05</c:v>
                </c:pt>
                <c:pt idx="2">
                  <c:v>871644.46</c:v>
                </c:pt>
                <c:pt idx="3">
                  <c:v>1048678.13</c:v>
                </c:pt>
                <c:pt idx="4">
                  <c:v>97898.92</c:v>
                </c:pt>
                <c:pt idx="5">
                  <c:v>1479536.45</c:v>
                </c:pt>
                <c:pt idx="6">
                  <c:v>1515940.54</c:v>
                </c:pt>
                <c:pt idx="7">
                  <c:v>4131756.07</c:v>
                </c:pt>
                <c:pt idx="8">
                  <c:v>3753435.23</c:v>
                </c:pt>
                <c:pt idx="9">
                  <c:v>2520993.04</c:v>
                </c:pt>
                <c:pt idx="10">
                  <c:v>642156</c:v>
                </c:pt>
                <c:pt idx="11">
                  <c:v>963234</c:v>
                </c:pt>
              </c:numCache>
            </c:numRef>
          </c:val>
        </c:ser>
        <c:ser>
          <c:idx val="2"/>
          <c:order val="2"/>
          <c:tx>
            <c:strRef>
              <c:f>"Backoffice"</c:f>
              <c:strCache>
                <c:ptCount val="1"/>
                <c:pt idx="0">
                  <c:v>Backoffice</c:v>
                </c:pt>
              </c:strCache>
            </c:strRef>
          </c:tx>
          <c:spPr>
            <a:ln w="1260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rgbClr val="000000"/>
                    </a:solidFill>
                    <a:uFillTx/>
                    <a:latin typeface="Calibri" panose="020F0502020204030204"/>
                    <a:ea typeface="Calibri" panose="020F0502020204030204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'03_Nhanh'!$A$70:$A$97</c:f>
              <c:strCache>
                <c:ptCount val="12"/>
                <c:pt idx="0" c:formatCode="dd/mm">
                  <c:v>01/07</c:v>
                </c:pt>
                <c:pt idx="1" c:formatCode="dd/mm">
                  <c:v>02/07</c:v>
                </c:pt>
                <c:pt idx="2" c:formatCode="dd/mm">
                  <c:v>03/07</c:v>
                </c:pt>
                <c:pt idx="3" c:formatCode="dd/mm">
                  <c:v>04/07</c:v>
                </c:pt>
                <c:pt idx="4" c:formatCode="dd/mm">
                  <c:v>05/07</c:v>
                </c:pt>
                <c:pt idx="5" c:formatCode="dd/mm">
                  <c:v>06/07</c:v>
                </c:pt>
                <c:pt idx="6" c:formatCode="dd/mm">
                  <c:v>07/07</c:v>
                </c:pt>
                <c:pt idx="7" c:formatCode="dd/mm">
                  <c:v>08/07</c:v>
                </c:pt>
                <c:pt idx="8" c:formatCode="dd/mm">
                  <c:v>09/07</c:v>
                </c:pt>
                <c:pt idx="9" c:formatCode="dd/mm">
                  <c:v>10/07</c:v>
                </c:pt>
                <c:pt idx="10" c:formatCode="dd/mm">
                  <c:v>11/07</c:v>
                </c:pt>
                <c:pt idx="11" c:formatCode="dd/mm">
                  <c:v>12/07</c:v>
                </c:pt>
              </c:strCache>
            </c:strRef>
          </c:cat>
          <c:val>
            <c:numRef>
              <c:f>'03_Nhanh'!$I$70:$I$97</c:f>
              <c:numCache>
                <c:formatCode>#,##0</c:formatCode>
                <c:ptCount val="12"/>
                <c:pt idx="0">
                  <c:v>75000</c:v>
                </c:pt>
                <c:pt idx="1">
                  <c:v>59300</c:v>
                </c:pt>
                <c:pt idx="2">
                  <c:v>26000</c:v>
                </c:pt>
                <c:pt idx="3">
                  <c:v>46901</c:v>
                </c:pt>
                <c:pt idx="4">
                  <c:v>4001</c:v>
                </c:pt>
                <c:pt idx="5">
                  <c:v>126801</c:v>
                </c:pt>
                <c:pt idx="6">
                  <c:v>102500</c:v>
                </c:pt>
                <c:pt idx="7">
                  <c:v>108773</c:v>
                </c:pt>
                <c:pt idx="8">
                  <c:v>31998</c:v>
                </c:pt>
                <c:pt idx="9">
                  <c:v>126950</c:v>
                </c:pt>
                <c:pt idx="10">
                  <c:v>-16572</c:v>
                </c:pt>
                <c:pt idx="11">
                  <c:v>-6870</c:v>
                </c:pt>
              </c:numCache>
            </c:numRef>
          </c:val>
        </c:ser>
        <c:ser>
          <c:idx val="3"/>
          <c:order val="3"/>
          <c:tx>
            <c:strRef>
              <c:f>"Ads"</c:f>
              <c:strCache>
                <c:ptCount val="1"/>
                <c:pt idx="0">
                  <c:v>Ads</c:v>
                </c:pt>
              </c:strCache>
            </c:strRef>
          </c:tx>
          <c:spPr>
            <a:ln w="1260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rgbClr val="000000"/>
                    </a:solidFill>
                    <a:uFillTx/>
                    <a:latin typeface="Calibri" panose="020F0502020204030204"/>
                    <a:ea typeface="Calibri" panose="020F0502020204030204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'03_Nhanh'!$A$70:$A$97</c:f>
              <c:strCache>
                <c:ptCount val="12"/>
                <c:pt idx="0" c:formatCode="dd/mm">
                  <c:v>01/07</c:v>
                </c:pt>
                <c:pt idx="1" c:formatCode="dd/mm">
                  <c:v>02/07</c:v>
                </c:pt>
                <c:pt idx="2" c:formatCode="dd/mm">
                  <c:v>03/07</c:v>
                </c:pt>
                <c:pt idx="3" c:formatCode="dd/mm">
                  <c:v>04/07</c:v>
                </c:pt>
                <c:pt idx="4" c:formatCode="dd/mm">
                  <c:v>05/07</c:v>
                </c:pt>
                <c:pt idx="5" c:formatCode="dd/mm">
                  <c:v>06/07</c:v>
                </c:pt>
                <c:pt idx="6" c:formatCode="dd/mm">
                  <c:v>07/07</c:v>
                </c:pt>
                <c:pt idx="7" c:formatCode="dd/mm">
                  <c:v>08/07</c:v>
                </c:pt>
                <c:pt idx="8" c:formatCode="dd/mm">
                  <c:v>09/07</c:v>
                </c:pt>
                <c:pt idx="9" c:formatCode="dd/mm">
                  <c:v>10/07</c:v>
                </c:pt>
                <c:pt idx="10" c:formatCode="dd/mm">
                  <c:v>11/07</c:v>
                </c:pt>
                <c:pt idx="11" c:formatCode="dd/mm">
                  <c:v>12/07</c:v>
                </c:pt>
              </c:strCache>
            </c:strRef>
          </c:cat>
          <c:val>
            <c:numRef>
              <c:f>'03_Nhanh'!$J$70:$J$97</c:f>
              <c:numCache>
                <c:formatCode>#,##0</c:formatCode>
                <c:ptCount val="12"/>
                <c:pt idx="0">
                  <c:v>963300</c:v>
                </c:pt>
                <c:pt idx="1">
                  <c:v>1146000</c:v>
                </c:pt>
                <c:pt idx="2">
                  <c:v>462600</c:v>
                </c:pt>
                <c:pt idx="3">
                  <c:v>592350</c:v>
                </c:pt>
                <c:pt idx="4">
                  <c:v>53700</c:v>
                </c:pt>
                <c:pt idx="5">
                  <c:v>798750</c:v>
                </c:pt>
                <c:pt idx="6">
                  <c:v>739050</c:v>
                </c:pt>
                <c:pt idx="7">
                  <c:v>1976250</c:v>
                </c:pt>
                <c:pt idx="8">
                  <c:v>1809750</c:v>
                </c:pt>
                <c:pt idx="9">
                  <c:v>1235100</c:v>
                </c:pt>
                <c:pt idx="10">
                  <c:v>325350</c:v>
                </c:pt>
                <c:pt idx="11">
                  <c:v>477600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1"/>
        </c:dLbls>
        <c:gapWidth val="150"/>
        <c:overlap val="0"/>
        <c:axId val="47300885"/>
        <c:axId val="27880616"/>
      </c:barChart>
      <c:catAx>
        <c:axId val="47300885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D9E2EC"/>
            </a:solidFill>
            <a:prstDash val="solid"/>
            <a:round/>
          </a:ln>
        </c:spPr>
        <c:txPr>
          <a:bodyPr rot="-1500000" spcFirstLastPara="0" vertOverflow="ellipsis" vert="horz" wrap="square" anchor="ctr" anchorCtr="1"/>
          <a:lstStyle/>
          <a:p>
            <a:pPr>
              <a:defRPr lang="en-US" sz="600" b="0" i="0" u="none" strike="noStrike" kern="1200" baseline="0">
                <a:solidFill>
                  <a:srgbClr val="000000"/>
                </a:solidFill>
                <a:uFillTx/>
                <a:latin typeface="Calibri" panose="020F0502020204030204"/>
                <a:ea typeface="Calibri" panose="020F0502020204030204"/>
                <a:cs typeface="+mn-cs"/>
              </a:defRPr>
            </a:pPr>
          </a:p>
        </c:txPr>
        <c:crossAx val="27880616"/>
        <c:crosses val="autoZero"/>
        <c:auto val="1"/>
        <c:lblAlgn val="ctr"/>
        <c:lblOffset val="100"/>
        <c:noMultiLvlLbl val="0"/>
      </c:catAx>
      <c:valAx>
        <c:axId val="27880616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0.0,,&quot; tr&quot;;[Red]\(0.0,,&quot; tr)&quot;;\-" sourceLinked="0"/>
        <c:majorTickMark val="none"/>
        <c:minorTickMark val="none"/>
        <c:tickLblPos val="nextTo"/>
        <c:spPr>
          <a:ln w="9360">
            <a:solidFill>
              <a:srgbClr val="D9E2EC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600" b="0" i="0" u="none" strike="noStrike" kern="1200" baseline="0">
                <a:solidFill>
                  <a:srgbClr val="000000"/>
                </a:solidFill>
                <a:uFillTx/>
                <a:latin typeface="Calibri" panose="020F0502020204030204"/>
                <a:ea typeface="Calibri" panose="020F0502020204030204"/>
                <a:cs typeface="+mn-cs"/>
              </a:defRPr>
            </a:pPr>
          </a:p>
        </c:txPr>
        <c:crossAx val="47300885"/>
        <c:crosses val="autoZero"/>
        <c:crossBetween val="between"/>
      </c:valAx>
    </c:plotArea>
    <c:legend>
      <c:legendPos val="b"/>
      <c:layout/>
      <c:overlay val="0"/>
      <c:spPr>
        <a:noFill/>
        <a:ln w="0">
          <a:noFill/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rgbClr val="000000"/>
              </a:solidFill>
              <a:uFillTx/>
              <a:latin typeface="Calibri" panose="020F0502020204030204"/>
              <a:ea typeface="Calibri" panose="020F0502020204030204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97ce457-7ec1-4d37-af10-f0e734ed4e28}"/>
      </c:ext>
    </c:extLst>
  </c:chart>
  <c:spPr>
    <a:ln w="9360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300" b="0" i="0" u="none" strike="noStrike" kern="1200" baseline="0">
                <a:solidFill>
                  <a:schemeClr val="tx1"/>
                </a:solidFill>
                <a:uFillTx/>
                <a:latin typeface="Arial" panose="020B0604020202020204"/>
                <a:ea typeface="+mn-ea"/>
                <a:cs typeface="+mn-cs"/>
              </a:defRPr>
            </a:pPr>
            <a:r>
              <a:rPr sz="1800" b="1" strike="noStrike">
                <a:solidFill>
                  <a:srgbClr val="000000"/>
                </a:solidFill>
                <a:uFillTx/>
                <a:latin typeface="Calibri" panose="020F0502020204030204"/>
                <a:ea typeface="Calibri" panose="020F0502020204030204"/>
              </a:rPr>
              <a:t>Cơ cấu chi phí tháng</a:t>
            </a:r>
            <a:endParaRPr sz="1800" b="1" strike="noStrike">
              <a:solidFill>
                <a:srgbClr val="000000"/>
              </a:solidFill>
              <a:uFillTx/>
              <a:latin typeface="Calibri" panose="020F0502020204030204"/>
              <a:ea typeface="Calibri" panose="020F0502020204030204"/>
            </a:endParaRPr>
          </a:p>
        </c:rich>
      </c:tx>
      <c:layout/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"Chi phí"</c:f>
              <c:strCache>
                <c:ptCount val="1"/>
                <c:pt idx="0">
                  <c:v>Chi phí</c:v>
                </c:pt>
              </c:strCache>
            </c:strRef>
          </c:tx>
          <c:spPr>
            <a:ln w="1260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rgbClr val="000000"/>
                    </a:solidFill>
                    <a:uFillTx/>
                    <a:latin typeface="Calibri" panose="020F0502020204030204"/>
                    <a:ea typeface="Calibri" panose="020F0502020204030204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'03_Nhanh'!$R$31:$R$37</c:f>
              <c:strCache>
                <c:ptCount val="7"/>
                <c:pt idx="0">
                  <c:v>Ads cost</c:v>
                </c:pt>
                <c:pt idx="1">
                  <c:v>Backoffice fee</c:v>
                </c:pt>
                <c:pt idx="2">
                  <c:v>Packaging cost</c:v>
                </c:pt>
                <c:pt idx="3">
                  <c:v>Shipping / return fee</c:v>
                </c:pt>
                <c:pt idx="4">
                  <c:v>Platform fees</c:v>
                </c:pt>
                <c:pt idx="5">
                  <c:v>Live cost</c:v>
                </c:pt>
                <c:pt idx="6">
                  <c:v>Booking fee</c:v>
                </c:pt>
              </c:strCache>
            </c:strRef>
          </c:cat>
          <c:val>
            <c:numRef>
              <c:f>'03_Nhanh'!$S$31:$S$37</c:f>
              <c:numCache>
                <c:formatCode>#,##0</c:formatCode>
                <c:ptCount val="7"/>
                <c:pt idx="0">
                  <c:v>46779729</c:v>
                </c:pt>
                <c:pt idx="1">
                  <c:v>10579800</c:v>
                </c:pt>
                <c:pt idx="2">
                  <c:v>1050000</c:v>
                </c:pt>
                <c:pt idx="3">
                  <c:v>684782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1"/>
        </c:dLbls>
        <c:gapWidth val="150"/>
        <c:overlap val="0"/>
        <c:axId val="14773760"/>
        <c:axId val="35855630"/>
      </c:barChart>
      <c:catAx>
        <c:axId val="14773760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D9E2EC"/>
            </a:solidFill>
            <a:prstDash val="solid"/>
            <a:round/>
          </a:ln>
        </c:spPr>
        <c:txPr>
          <a:bodyPr rot="-1500000" spcFirstLastPara="0" vertOverflow="ellipsis" vert="horz" wrap="square" anchor="ctr" anchorCtr="1"/>
          <a:lstStyle/>
          <a:p>
            <a:pPr>
              <a:defRPr lang="en-US" sz="600" b="0" i="0" u="none" strike="noStrike" kern="1200" baseline="0">
                <a:solidFill>
                  <a:srgbClr val="000000"/>
                </a:solidFill>
                <a:uFillTx/>
                <a:latin typeface="Calibri" panose="020F0502020204030204"/>
                <a:ea typeface="Calibri" panose="020F0502020204030204"/>
                <a:cs typeface="+mn-cs"/>
              </a:defRPr>
            </a:pPr>
          </a:p>
        </c:txPr>
        <c:crossAx val="35855630"/>
        <c:crosses val="autoZero"/>
        <c:auto val="1"/>
        <c:lblAlgn val="ctr"/>
        <c:lblOffset val="100"/>
        <c:noMultiLvlLbl val="0"/>
      </c:catAx>
      <c:valAx>
        <c:axId val="35855630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0.0,,&quot; tr&quot;;[Red]\(0.0,,&quot; tr)&quot;;\-" sourceLinked="0"/>
        <c:majorTickMark val="none"/>
        <c:minorTickMark val="none"/>
        <c:tickLblPos val="nextTo"/>
        <c:spPr>
          <a:ln w="9360">
            <a:solidFill>
              <a:srgbClr val="D9E2EC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600" b="0" i="0" u="none" strike="noStrike" kern="1200" baseline="0">
                <a:solidFill>
                  <a:srgbClr val="000000"/>
                </a:solidFill>
                <a:uFillTx/>
                <a:latin typeface="Calibri" panose="020F0502020204030204"/>
                <a:ea typeface="Calibri" panose="020F0502020204030204"/>
                <a:cs typeface="+mn-cs"/>
              </a:defRPr>
            </a:pPr>
          </a:p>
        </c:txPr>
        <c:crossAx val="1477376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dd7d652b-69be-4974-ad52-e8656c2d9b28}"/>
      </c:ext>
    </c:extLst>
  </c:chart>
  <c:spPr>
    <a:ln w="9360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300" b="0" i="0" u="none" strike="noStrike" kern="1200" baseline="0">
                <a:solidFill>
                  <a:schemeClr val="tx1"/>
                </a:solidFill>
                <a:uFillTx/>
                <a:latin typeface="Arial" panose="020B0604020202020204"/>
                <a:ea typeface="+mn-ea"/>
                <a:cs typeface="+mn-cs"/>
              </a:defRPr>
            </a:pPr>
            <a:r>
              <a:rPr sz="1800" b="1" strike="noStrike">
                <a:solidFill>
                  <a:srgbClr val="000000"/>
                </a:solidFill>
                <a:uFillTx/>
                <a:latin typeface="Calibri" panose="020F0502020204030204"/>
                <a:ea typeface="Calibri" panose="020F0502020204030204"/>
              </a:rPr>
              <a:t>Doanh thu thuần theo ngày: hiện tại vs kỳ trước</a:t>
            </a:r>
            <a:endParaRPr sz="1800" b="1" strike="noStrike">
              <a:solidFill>
                <a:srgbClr val="000000"/>
              </a:solidFill>
              <a:uFillTx/>
              <a:latin typeface="Calibri" panose="020F0502020204030204"/>
              <a:ea typeface="Calibri" panose="020F0502020204030204"/>
            </a:endParaRPr>
          </a:p>
        </c:rich>
      </c:tx>
      <c:layout/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"Hiện tại"</c:f>
              <c:strCache>
                <c:ptCount val="1"/>
                <c:pt idx="0">
                  <c:v>Hiện tại</c:v>
                </c:pt>
              </c:strCache>
            </c:strRef>
          </c:tx>
          <c:spPr>
            <a:ln w="12600" cap="rnd">
              <a:solidFill>
                <a:srgbClr val="156082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rgbClr val="000000"/>
                    </a:solidFill>
                    <a:uFillTx/>
                    <a:latin typeface="Calibri" panose="020F0502020204030204"/>
                    <a:ea typeface="Calibri" panose="020F0502020204030204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'04_Shopee'!$A$70:$A$97</c:f>
              <c:strCache>
                <c:ptCount val="12"/>
                <c:pt idx="0" c:formatCode="dd/mm">
                  <c:v>01/07</c:v>
                </c:pt>
                <c:pt idx="1" c:formatCode="dd/mm">
                  <c:v>02/07</c:v>
                </c:pt>
                <c:pt idx="2" c:formatCode="dd/mm">
                  <c:v>03/07</c:v>
                </c:pt>
                <c:pt idx="3" c:formatCode="dd/mm">
                  <c:v>04/07</c:v>
                </c:pt>
                <c:pt idx="4" c:formatCode="dd/mm">
                  <c:v>05/07</c:v>
                </c:pt>
                <c:pt idx="5" c:formatCode="dd/mm">
                  <c:v>06/07</c:v>
                </c:pt>
                <c:pt idx="6" c:formatCode="dd/mm">
                  <c:v>07/07</c:v>
                </c:pt>
                <c:pt idx="7" c:formatCode="dd/mm">
                  <c:v>08/07</c:v>
                </c:pt>
                <c:pt idx="8" c:formatCode="dd/mm">
                  <c:v>09/07</c:v>
                </c:pt>
                <c:pt idx="9" c:formatCode="dd/mm">
                  <c:v>10/07</c:v>
                </c:pt>
                <c:pt idx="10" c:formatCode="dd/mm">
                  <c:v>11/07</c:v>
                </c:pt>
                <c:pt idx="11" c:formatCode="dd/mm">
                  <c:v>12/07</c:v>
                </c:pt>
              </c:strCache>
            </c:strRef>
          </c:cat>
          <c:val>
            <c:numRef>
              <c:f>'04_Shopee'!$C$70:$C$97</c:f>
              <c:numCache>
                <c:formatCode>#,##0</c:formatCode>
                <c:ptCount val="12"/>
                <c:pt idx="0">
                  <c:v>42243000</c:v>
                </c:pt>
                <c:pt idx="1">
                  <c:v>25336000</c:v>
                </c:pt>
                <c:pt idx="2">
                  <c:v>33000000</c:v>
                </c:pt>
                <c:pt idx="3">
                  <c:v>22810000</c:v>
                </c:pt>
                <c:pt idx="4">
                  <c:v>36324000</c:v>
                </c:pt>
                <c:pt idx="5">
                  <c:v>26361000</c:v>
                </c:pt>
                <c:pt idx="6">
                  <c:v>174603024</c:v>
                </c:pt>
                <c:pt idx="7">
                  <c:v>41063000</c:v>
                </c:pt>
                <c:pt idx="8">
                  <c:v>37056000</c:v>
                </c:pt>
                <c:pt idx="9">
                  <c:v>33781000</c:v>
                </c:pt>
                <c:pt idx="10">
                  <c:v>20467000</c:v>
                </c:pt>
                <c:pt idx="11">
                  <c:v>40990000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"Kỳ trước"</c:f>
              <c:strCache>
                <c:ptCount val="1"/>
                <c:pt idx="0">
                  <c:v>Kỳ trước</c:v>
                </c:pt>
              </c:strCache>
            </c:strRef>
          </c:tx>
          <c:spPr>
            <a:ln w="12600" cap="rnd">
              <a:solidFill>
                <a:srgbClr val="E97132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rgbClr val="000000"/>
                    </a:solidFill>
                    <a:uFillTx/>
                    <a:latin typeface="Calibri" panose="020F0502020204030204"/>
                    <a:ea typeface="Calibri" panose="020F0502020204030204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'04_Shopee'!$A$70:$A$97</c:f>
              <c:strCache>
                <c:ptCount val="12"/>
                <c:pt idx="0" c:formatCode="dd/mm">
                  <c:v>01/07</c:v>
                </c:pt>
                <c:pt idx="1" c:formatCode="dd/mm">
                  <c:v>02/07</c:v>
                </c:pt>
                <c:pt idx="2" c:formatCode="dd/mm">
                  <c:v>03/07</c:v>
                </c:pt>
                <c:pt idx="3" c:formatCode="dd/mm">
                  <c:v>04/07</c:v>
                </c:pt>
                <c:pt idx="4" c:formatCode="dd/mm">
                  <c:v>05/07</c:v>
                </c:pt>
                <c:pt idx="5" c:formatCode="dd/mm">
                  <c:v>06/07</c:v>
                </c:pt>
                <c:pt idx="6" c:formatCode="dd/mm">
                  <c:v>07/07</c:v>
                </c:pt>
                <c:pt idx="7" c:formatCode="dd/mm">
                  <c:v>08/07</c:v>
                </c:pt>
                <c:pt idx="8" c:formatCode="dd/mm">
                  <c:v>09/07</c:v>
                </c:pt>
                <c:pt idx="9" c:formatCode="dd/mm">
                  <c:v>10/07</c:v>
                </c:pt>
                <c:pt idx="10" c:formatCode="dd/mm">
                  <c:v>11/07</c:v>
                </c:pt>
                <c:pt idx="11" c:formatCode="dd/mm">
                  <c:v>12/07</c:v>
                </c:pt>
              </c:strCache>
            </c:strRef>
          </c:cat>
          <c:val>
            <c:numRef>
              <c:f>'04_Shopee'!$P$70:$P$97</c:f>
              <c:numCache>
                <c:formatCode>#,##0</c:formatCode>
                <c:ptCount val="12"/>
                <c:pt idx="0">
                  <c:v>3686526.87</c:v>
                </c:pt>
                <c:pt idx="1">
                  <c:v>2920959.72</c:v>
                </c:pt>
                <c:pt idx="2">
                  <c:v>3860233.4</c:v>
                </c:pt>
                <c:pt idx="3">
                  <c:v>2654806.13</c:v>
                </c:pt>
                <c:pt idx="4">
                  <c:v>5501899.39</c:v>
                </c:pt>
                <c:pt idx="5">
                  <c:v>2989421.77</c:v>
                </c:pt>
                <c:pt idx="6">
                  <c:v>22193871.25</c:v>
                </c:pt>
                <c:pt idx="7">
                  <c:v>4149855.51</c:v>
                </c:pt>
                <c:pt idx="8">
                  <c:v>4436440.54</c:v>
                </c:pt>
                <c:pt idx="9">
                  <c:v>4331914.83</c:v>
                </c:pt>
                <c:pt idx="10">
                  <c:v>2512186.2</c:v>
                </c:pt>
                <c:pt idx="11">
                  <c:v>5639629.09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1"/>
        </c:dLbls>
        <c:hiLowLines>
          <c:spPr>
            <a:ln w="0">
              <a:noFill/>
              <a:prstDash val="solid"/>
              <a:round/>
            </a:ln>
          </c:spPr>
        </c:hiLowLines>
        <c:marker val="0"/>
        <c:smooth val="0"/>
        <c:axId val="53316942"/>
        <c:axId val="41077121"/>
      </c:lineChart>
      <c:catAx>
        <c:axId val="53316942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D9E2EC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600" b="0" i="0" u="none" strike="noStrike" kern="1200" baseline="0">
                <a:solidFill>
                  <a:srgbClr val="000000"/>
                </a:solidFill>
                <a:uFillTx/>
                <a:latin typeface="Calibri" panose="020F0502020204030204"/>
                <a:ea typeface="Calibri" panose="020F0502020204030204"/>
                <a:cs typeface="+mn-cs"/>
              </a:defRPr>
            </a:pPr>
          </a:p>
        </c:txPr>
        <c:crossAx val="41077121"/>
        <c:crosses val="autoZero"/>
        <c:auto val="1"/>
        <c:lblAlgn val="ctr"/>
        <c:lblOffset val="100"/>
        <c:noMultiLvlLbl val="0"/>
      </c:catAx>
      <c:valAx>
        <c:axId val="41077121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0.0,,&quot; tr&quot;;[Red]\(0.0,,&quot; tr)&quot;;\-" sourceLinked="0"/>
        <c:majorTickMark val="none"/>
        <c:minorTickMark val="none"/>
        <c:tickLblPos val="nextTo"/>
        <c:spPr>
          <a:ln w="9360">
            <a:solidFill>
              <a:srgbClr val="D9E2EC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600" b="0" i="0" u="none" strike="noStrike" kern="1200" baseline="0">
                <a:solidFill>
                  <a:srgbClr val="000000"/>
                </a:solidFill>
                <a:uFillTx/>
                <a:latin typeface="Calibri" panose="020F0502020204030204"/>
                <a:ea typeface="Calibri" panose="020F0502020204030204"/>
                <a:cs typeface="+mn-cs"/>
              </a:defRPr>
            </a:pPr>
          </a:p>
        </c:txPr>
        <c:crossAx val="53316942"/>
        <c:crosses val="autoZero"/>
        <c:crossBetween val="between"/>
      </c:valAx>
    </c:plotArea>
    <c:legend>
      <c:legendPos val="b"/>
      <c:layout/>
      <c:overlay val="0"/>
      <c:spPr>
        <a:noFill/>
        <a:ln w="0">
          <a:noFill/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rgbClr val="000000"/>
              </a:solidFill>
              <a:uFillTx/>
              <a:latin typeface="Calibri" panose="020F0502020204030204"/>
              <a:ea typeface="Calibri" panose="020F0502020204030204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ea2e5f4-75e7-401f-8676-0ece21230126}"/>
      </c:ext>
    </c:extLst>
  </c:chart>
  <c:spPr>
    <a:ln w="9360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300" b="0" i="0" u="none" strike="noStrike" kern="1200" baseline="0">
                <a:solidFill>
                  <a:schemeClr val="tx1"/>
                </a:solidFill>
                <a:uFillTx/>
                <a:latin typeface="Arial" panose="020B0604020202020204"/>
                <a:ea typeface="+mn-ea"/>
                <a:cs typeface="+mn-cs"/>
              </a:defRPr>
            </a:pPr>
            <a:r>
              <a:rPr sz="1800" b="1" strike="noStrike">
                <a:solidFill>
                  <a:srgbClr val="000000"/>
                </a:solidFill>
                <a:uFillTx/>
                <a:latin typeface="Calibri" panose="020F0502020204030204"/>
                <a:ea typeface="Calibri" panose="020F0502020204030204"/>
              </a:rPr>
              <a:t>Lợi nhuận theo ngày</a:t>
            </a:r>
            <a:endParaRPr sz="1800" b="1" strike="noStrike">
              <a:solidFill>
                <a:srgbClr val="000000"/>
              </a:solidFill>
              <a:uFillTx/>
              <a:latin typeface="Calibri" panose="020F0502020204030204"/>
              <a:ea typeface="Calibri" panose="020F0502020204030204"/>
            </a:endParaRPr>
          </a:p>
        </c:rich>
      </c:tx>
      <c:layout/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"Lợi nhuận"</c:f>
              <c:strCache>
                <c:ptCount val="1"/>
                <c:pt idx="0">
                  <c:v>Lợi nhuận</c:v>
                </c:pt>
              </c:strCache>
            </c:strRef>
          </c:tx>
          <c:spPr>
            <a:ln w="1260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rgbClr val="000000"/>
                    </a:solidFill>
                    <a:uFillTx/>
                    <a:latin typeface="Calibri" panose="020F0502020204030204"/>
                    <a:ea typeface="Calibri" panose="020F0502020204030204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'04_Shopee'!$A$70:$A$97</c:f>
              <c:strCache>
                <c:ptCount val="12"/>
                <c:pt idx="0" c:formatCode="dd/mm">
                  <c:v>01/07</c:v>
                </c:pt>
                <c:pt idx="1" c:formatCode="dd/mm">
                  <c:v>02/07</c:v>
                </c:pt>
                <c:pt idx="2" c:formatCode="dd/mm">
                  <c:v>03/07</c:v>
                </c:pt>
                <c:pt idx="3" c:formatCode="dd/mm">
                  <c:v>04/07</c:v>
                </c:pt>
                <c:pt idx="4" c:formatCode="dd/mm">
                  <c:v>05/07</c:v>
                </c:pt>
                <c:pt idx="5" c:formatCode="dd/mm">
                  <c:v>06/07</c:v>
                </c:pt>
                <c:pt idx="6" c:formatCode="dd/mm">
                  <c:v>07/07</c:v>
                </c:pt>
                <c:pt idx="7" c:formatCode="dd/mm">
                  <c:v>08/07</c:v>
                </c:pt>
                <c:pt idx="8" c:formatCode="dd/mm">
                  <c:v>09/07</c:v>
                </c:pt>
                <c:pt idx="9" c:formatCode="dd/mm">
                  <c:v>10/07</c:v>
                </c:pt>
                <c:pt idx="10" c:formatCode="dd/mm">
                  <c:v>11/07</c:v>
                </c:pt>
                <c:pt idx="11" c:formatCode="dd/mm">
                  <c:v>12/07</c:v>
                </c:pt>
              </c:strCache>
            </c:strRef>
          </c:cat>
          <c:val>
            <c:numRef>
              <c:f>'04_Shopee'!$N$70:$N$97</c:f>
              <c:numCache>
                <c:formatCode>#,##0</c:formatCode>
                <c:ptCount val="12"/>
                <c:pt idx="0">
                  <c:v>450000</c:v>
                </c:pt>
                <c:pt idx="1">
                  <c:v>278000</c:v>
                </c:pt>
                <c:pt idx="2">
                  <c:v>338000</c:v>
                </c:pt>
                <c:pt idx="3">
                  <c:v>240000</c:v>
                </c:pt>
                <c:pt idx="4">
                  <c:v>384000</c:v>
                </c:pt>
                <c:pt idx="5">
                  <c:v>258000</c:v>
                </c:pt>
                <c:pt idx="6">
                  <c:v>2016000</c:v>
                </c:pt>
                <c:pt idx="7">
                  <c:v>422000</c:v>
                </c:pt>
                <c:pt idx="8">
                  <c:v>364000</c:v>
                </c:pt>
                <c:pt idx="9">
                  <c:v>336000</c:v>
                </c:pt>
                <c:pt idx="10">
                  <c:v>212000</c:v>
                </c:pt>
                <c:pt idx="11">
                  <c:v>388000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1"/>
        </c:dLbls>
        <c:gapWidth val="150"/>
        <c:overlap val="0"/>
        <c:axId val="43576769"/>
        <c:axId val="47675850"/>
      </c:barChart>
      <c:catAx>
        <c:axId val="43576769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D9E2EC"/>
            </a:solidFill>
            <a:prstDash val="solid"/>
            <a:round/>
          </a:ln>
        </c:spPr>
        <c:txPr>
          <a:bodyPr rot="-1500000" spcFirstLastPara="0" vertOverflow="ellipsis" vert="horz" wrap="square" anchor="ctr" anchorCtr="1"/>
          <a:lstStyle/>
          <a:p>
            <a:pPr>
              <a:defRPr lang="en-US" sz="600" b="0" i="0" u="none" strike="noStrike" kern="1200" baseline="0">
                <a:solidFill>
                  <a:srgbClr val="000000"/>
                </a:solidFill>
                <a:uFillTx/>
                <a:latin typeface="Calibri" panose="020F0502020204030204"/>
                <a:ea typeface="Calibri" panose="020F0502020204030204"/>
                <a:cs typeface="+mn-cs"/>
              </a:defRPr>
            </a:pPr>
          </a:p>
        </c:txPr>
        <c:crossAx val="47675850"/>
        <c:crosses val="autoZero"/>
        <c:auto val="1"/>
        <c:lblAlgn val="ctr"/>
        <c:lblOffset val="100"/>
        <c:noMultiLvlLbl val="0"/>
      </c:catAx>
      <c:valAx>
        <c:axId val="47675850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0.0,,&quot; tr&quot;;[Red]\(0.0,,&quot; tr)&quot;;\-" sourceLinked="0"/>
        <c:majorTickMark val="none"/>
        <c:minorTickMark val="none"/>
        <c:tickLblPos val="nextTo"/>
        <c:spPr>
          <a:ln w="9360">
            <a:solidFill>
              <a:srgbClr val="D9E2EC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600" b="0" i="0" u="none" strike="noStrike" kern="1200" baseline="0">
                <a:solidFill>
                  <a:srgbClr val="000000"/>
                </a:solidFill>
                <a:uFillTx/>
                <a:latin typeface="Calibri" panose="020F0502020204030204"/>
                <a:ea typeface="Calibri" panose="020F0502020204030204"/>
                <a:cs typeface="+mn-cs"/>
              </a:defRPr>
            </a:pPr>
          </a:p>
        </c:txPr>
        <c:crossAx val="43576769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4be55cb6-0a01-47fb-9ceb-4eaf9ccccbe3}"/>
      </c:ext>
    </c:extLst>
  </c:chart>
  <c:spPr>
    <a:ln w="9360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300" b="0" i="0" u="none" strike="noStrike" kern="1200" baseline="0">
                <a:solidFill>
                  <a:schemeClr val="tx1"/>
                </a:solidFill>
                <a:uFillTx/>
                <a:latin typeface="Arial" panose="020B0604020202020204"/>
                <a:ea typeface="+mn-ea"/>
                <a:cs typeface="+mn-cs"/>
              </a:defRPr>
            </a:pPr>
            <a:r>
              <a:rPr sz="1800" b="1" strike="noStrike">
                <a:solidFill>
                  <a:srgbClr val="000000"/>
                </a:solidFill>
                <a:uFillTx/>
                <a:latin typeface="Calibri" panose="020F0502020204030204"/>
                <a:ea typeface="Calibri" panose="020F0502020204030204"/>
              </a:rPr>
              <a:t>4 nhóm chi phí chính theo ngày</a:t>
            </a:r>
            <a:endParaRPr sz="1800" b="1" strike="noStrike">
              <a:solidFill>
                <a:srgbClr val="000000"/>
              </a:solidFill>
              <a:uFillTx/>
              <a:latin typeface="Calibri" panose="020F0502020204030204"/>
              <a:ea typeface="Calibri" panose="020F0502020204030204"/>
            </a:endParaRPr>
          </a:p>
        </c:rich>
      </c:tx>
      <c:layout/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"Giá vốn"</c:f>
              <c:strCache>
                <c:ptCount val="1"/>
                <c:pt idx="0">
                  <c:v>Giá vốn</c:v>
                </c:pt>
              </c:strCache>
            </c:strRef>
          </c:tx>
          <c:spPr>
            <a:ln w="1260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rgbClr val="000000"/>
                    </a:solidFill>
                    <a:uFillTx/>
                    <a:latin typeface="Calibri" panose="020F0502020204030204"/>
                    <a:ea typeface="Calibri" panose="020F0502020204030204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'04_Shopee'!$A$70:$A$97</c:f>
              <c:strCache>
                <c:ptCount val="12"/>
                <c:pt idx="0" c:formatCode="dd/mm">
                  <c:v>01/07</c:v>
                </c:pt>
                <c:pt idx="1" c:formatCode="dd/mm">
                  <c:v>02/07</c:v>
                </c:pt>
                <c:pt idx="2" c:formatCode="dd/mm">
                  <c:v>03/07</c:v>
                </c:pt>
                <c:pt idx="3" c:formatCode="dd/mm">
                  <c:v>04/07</c:v>
                </c:pt>
                <c:pt idx="4" c:formatCode="dd/mm">
                  <c:v>05/07</c:v>
                </c:pt>
                <c:pt idx="5" c:formatCode="dd/mm">
                  <c:v>06/07</c:v>
                </c:pt>
                <c:pt idx="6" c:formatCode="dd/mm">
                  <c:v>07/07</c:v>
                </c:pt>
                <c:pt idx="7" c:formatCode="dd/mm">
                  <c:v>08/07</c:v>
                </c:pt>
                <c:pt idx="8" c:formatCode="dd/mm">
                  <c:v>09/07</c:v>
                </c:pt>
                <c:pt idx="9" c:formatCode="dd/mm">
                  <c:v>10/07</c:v>
                </c:pt>
                <c:pt idx="10" c:formatCode="dd/mm">
                  <c:v>11/07</c:v>
                </c:pt>
                <c:pt idx="11" c:formatCode="dd/mm">
                  <c:v>12/07</c:v>
                </c:pt>
              </c:strCache>
            </c:strRef>
          </c:cat>
          <c:val>
            <c:numRef>
              <c:f>'04_Shopee'!$F$70:$F$97</c:f>
              <c:numCache>
                <c:formatCode>0.0%</c:formatCode>
                <c:ptCount val="12"/>
                <c:pt idx="0">
                  <c:v>0.160839160839161</c:v>
                </c:pt>
                <c:pt idx="1">
                  <c:v>0.130434782608696</c:v>
                </c:pt>
                <c:pt idx="2">
                  <c:v>0.16504854368932</c:v>
                </c:pt>
                <c:pt idx="3">
                  <c:v>0.178571428571429</c:v>
                </c:pt>
                <c:pt idx="4">
                  <c:v>0.0490196078431373</c:v>
                </c:pt>
                <c:pt idx="5">
                  <c:v>0.146341463414634</c:v>
                </c:pt>
                <c:pt idx="6">
                  <c:v>0.10880829015544</c:v>
                </c:pt>
                <c:pt idx="7">
                  <c:v>0.113636363636364</c:v>
                </c:pt>
                <c:pt idx="8">
                  <c:v>0.114285714285714</c:v>
                </c:pt>
                <c:pt idx="9">
                  <c:v>0.156521739130435</c:v>
                </c:pt>
                <c:pt idx="10">
                  <c:v>0.184615384615385</c:v>
                </c:pt>
                <c:pt idx="11">
                  <c:v>0.121739130434783</c:v>
                </c:pt>
              </c:numCache>
            </c:numRef>
          </c:val>
        </c:ser>
        <c:ser>
          <c:idx val="1"/>
          <c:order val="1"/>
          <c:tx>
            <c:strRef>
              <c:f>"Phí sàn"</c:f>
              <c:strCache>
                <c:ptCount val="1"/>
                <c:pt idx="0">
                  <c:v>Phí sàn</c:v>
                </c:pt>
              </c:strCache>
            </c:strRef>
          </c:tx>
          <c:spPr>
            <a:ln w="1260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rgbClr val="000000"/>
                    </a:solidFill>
                    <a:uFillTx/>
                    <a:latin typeface="Calibri" panose="020F0502020204030204"/>
                    <a:ea typeface="Calibri" panose="020F0502020204030204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'04_Shopee'!$A$70:$A$97</c:f>
              <c:strCache>
                <c:ptCount val="12"/>
                <c:pt idx="0" c:formatCode="dd/mm">
                  <c:v>01/07</c:v>
                </c:pt>
                <c:pt idx="1" c:formatCode="dd/mm">
                  <c:v>02/07</c:v>
                </c:pt>
                <c:pt idx="2" c:formatCode="dd/mm">
                  <c:v>03/07</c:v>
                </c:pt>
                <c:pt idx="3" c:formatCode="dd/mm">
                  <c:v>04/07</c:v>
                </c:pt>
                <c:pt idx="4" c:formatCode="dd/mm">
                  <c:v>05/07</c:v>
                </c:pt>
                <c:pt idx="5" c:formatCode="dd/mm">
                  <c:v>06/07</c:v>
                </c:pt>
                <c:pt idx="6" c:formatCode="dd/mm">
                  <c:v>07/07</c:v>
                </c:pt>
                <c:pt idx="7" c:formatCode="dd/mm">
                  <c:v>08/07</c:v>
                </c:pt>
                <c:pt idx="8" c:formatCode="dd/mm">
                  <c:v>09/07</c:v>
                </c:pt>
                <c:pt idx="9" c:formatCode="dd/mm">
                  <c:v>10/07</c:v>
                </c:pt>
                <c:pt idx="10" c:formatCode="dd/mm">
                  <c:v>11/07</c:v>
                </c:pt>
                <c:pt idx="11" c:formatCode="dd/mm">
                  <c:v>12/07</c:v>
                </c:pt>
              </c:strCache>
            </c:strRef>
          </c:cat>
          <c:val>
            <c:numRef>
              <c:f>'04_Shopee'!$G$70:$G$97</c:f>
              <c:numCache>
                <c:formatCode>#,##0</c:formatCode>
                <c:ptCount val="12"/>
                <c:pt idx="0">
                  <c:v>10283574.48</c:v>
                </c:pt>
                <c:pt idx="1">
                  <c:v>5801955.23</c:v>
                </c:pt>
                <c:pt idx="2">
                  <c:v>7580530.65</c:v>
                </c:pt>
                <c:pt idx="3">
                  <c:v>5169655.62</c:v>
                </c:pt>
                <c:pt idx="4">
                  <c:v>8399836.16</c:v>
                </c:pt>
                <c:pt idx="5">
                  <c:v>6267992.83</c:v>
                </c:pt>
                <c:pt idx="6">
                  <c:v>47959478.55</c:v>
                </c:pt>
                <c:pt idx="7">
                  <c:v>9515117.84</c:v>
                </c:pt>
                <c:pt idx="8">
                  <c:v>8575816.01</c:v>
                </c:pt>
                <c:pt idx="9">
                  <c:v>7557198.37</c:v>
                </c:pt>
                <c:pt idx="10">
                  <c:v>4682420.45</c:v>
                </c:pt>
                <c:pt idx="11">
                  <c:v>9474259.06</c:v>
                </c:pt>
              </c:numCache>
            </c:numRef>
          </c:val>
        </c:ser>
        <c:ser>
          <c:idx val="2"/>
          <c:order val="2"/>
          <c:tx>
            <c:strRef>
              <c:f>"Backoffice"</c:f>
              <c:strCache>
                <c:ptCount val="1"/>
                <c:pt idx="0">
                  <c:v>Backoffice</c:v>
                </c:pt>
              </c:strCache>
            </c:strRef>
          </c:tx>
          <c:spPr>
            <a:ln w="1260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rgbClr val="000000"/>
                    </a:solidFill>
                    <a:uFillTx/>
                    <a:latin typeface="Calibri" panose="020F0502020204030204"/>
                    <a:ea typeface="Calibri" panose="020F0502020204030204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'04_Shopee'!$A$70:$A$97</c:f>
              <c:strCache>
                <c:ptCount val="12"/>
                <c:pt idx="0" c:formatCode="dd/mm">
                  <c:v>01/07</c:v>
                </c:pt>
                <c:pt idx="1" c:formatCode="dd/mm">
                  <c:v>02/07</c:v>
                </c:pt>
                <c:pt idx="2" c:formatCode="dd/mm">
                  <c:v>03/07</c:v>
                </c:pt>
                <c:pt idx="3" c:formatCode="dd/mm">
                  <c:v>04/07</c:v>
                </c:pt>
                <c:pt idx="4" c:formatCode="dd/mm">
                  <c:v>05/07</c:v>
                </c:pt>
                <c:pt idx="5" c:formatCode="dd/mm">
                  <c:v>06/07</c:v>
                </c:pt>
                <c:pt idx="6" c:formatCode="dd/mm">
                  <c:v>07/07</c:v>
                </c:pt>
                <c:pt idx="7" c:formatCode="dd/mm">
                  <c:v>08/07</c:v>
                </c:pt>
                <c:pt idx="8" c:formatCode="dd/mm">
                  <c:v>09/07</c:v>
                </c:pt>
                <c:pt idx="9" c:formatCode="dd/mm">
                  <c:v>10/07</c:v>
                </c:pt>
                <c:pt idx="10" c:formatCode="dd/mm">
                  <c:v>11/07</c:v>
                </c:pt>
                <c:pt idx="11" c:formatCode="dd/mm">
                  <c:v>12/07</c:v>
                </c:pt>
              </c:strCache>
            </c:strRef>
          </c:cat>
          <c:val>
            <c:numRef>
              <c:f>'04_Shopee'!$I$70:$I$97</c:f>
              <c:numCache>
                <c:formatCode>#,##0</c:formatCode>
                <c:ptCount val="12"/>
                <c:pt idx="0">
                  <c:v>180000</c:v>
                </c:pt>
                <c:pt idx="1">
                  <c:v>30000</c:v>
                </c:pt>
                <c:pt idx="2">
                  <c:v>60000</c:v>
                </c:pt>
                <c:pt idx="3">
                  <c:v>30000</c:v>
                </c:pt>
                <c:pt idx="4">
                  <c:v>60000</c:v>
                </c:pt>
                <c:pt idx="5">
                  <c:v>90000</c:v>
                </c:pt>
                <c:pt idx="6">
                  <c:v>150000</c:v>
                </c:pt>
                <c:pt idx="7">
                  <c:v>120000</c:v>
                </c:pt>
                <c:pt idx="8">
                  <c:v>30000</c:v>
                </c:pt>
                <c:pt idx="9">
                  <c:v>60000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3"/>
          <c:order val="3"/>
          <c:tx>
            <c:strRef>
              <c:f>"Ads"</c:f>
              <c:strCache>
                <c:ptCount val="1"/>
                <c:pt idx="0">
                  <c:v>Ads</c:v>
                </c:pt>
              </c:strCache>
            </c:strRef>
          </c:tx>
          <c:spPr>
            <a:ln w="1260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rgbClr val="000000"/>
                    </a:solidFill>
                    <a:uFillTx/>
                    <a:latin typeface="Calibri" panose="020F0502020204030204"/>
                    <a:ea typeface="Calibri" panose="020F0502020204030204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'04_Shopee'!$A$70:$A$97</c:f>
              <c:strCache>
                <c:ptCount val="12"/>
                <c:pt idx="0" c:formatCode="dd/mm">
                  <c:v>01/07</c:v>
                </c:pt>
                <c:pt idx="1" c:formatCode="dd/mm">
                  <c:v>02/07</c:v>
                </c:pt>
                <c:pt idx="2" c:formatCode="dd/mm">
                  <c:v>03/07</c:v>
                </c:pt>
                <c:pt idx="3" c:formatCode="dd/mm">
                  <c:v>04/07</c:v>
                </c:pt>
                <c:pt idx="4" c:formatCode="dd/mm">
                  <c:v>05/07</c:v>
                </c:pt>
                <c:pt idx="5" c:formatCode="dd/mm">
                  <c:v>06/07</c:v>
                </c:pt>
                <c:pt idx="6" c:formatCode="dd/mm">
                  <c:v>07/07</c:v>
                </c:pt>
                <c:pt idx="7" c:formatCode="dd/mm">
                  <c:v>08/07</c:v>
                </c:pt>
                <c:pt idx="8" c:formatCode="dd/mm">
                  <c:v>09/07</c:v>
                </c:pt>
                <c:pt idx="9" c:formatCode="dd/mm">
                  <c:v>10/07</c:v>
                </c:pt>
                <c:pt idx="10" c:formatCode="dd/mm">
                  <c:v>11/07</c:v>
                </c:pt>
                <c:pt idx="11" c:formatCode="dd/mm">
                  <c:v>12/07</c:v>
                </c:pt>
              </c:strCache>
            </c:strRef>
          </c:cat>
          <c:val>
            <c:numRef>
              <c:f>'04_Shopee'!$J$70:$J$97</c:f>
              <c:numCache>
                <c:formatCode>#,##0</c:formatCode>
                <c:ptCount val="12"/>
                <c:pt idx="0">
                  <c:v>4084210.65</c:v>
                </c:pt>
                <c:pt idx="1">
                  <c:v>2447956.05</c:v>
                </c:pt>
                <c:pt idx="2">
                  <c:v>3182668.95</c:v>
                </c:pt>
                <c:pt idx="3">
                  <c:v>2166371.25</c:v>
                </c:pt>
                <c:pt idx="4">
                  <c:v>3499746.45</c:v>
                </c:pt>
                <c:pt idx="5">
                  <c:v>2659193.4</c:v>
                </c:pt>
                <c:pt idx="6">
                  <c:v>17226298.2</c:v>
                </c:pt>
                <c:pt idx="7">
                  <c:v>3945427.65</c:v>
                </c:pt>
                <c:pt idx="8">
                  <c:v>3584181.45</c:v>
                </c:pt>
                <c:pt idx="9">
                  <c:v>3264994.8</c:v>
                </c:pt>
                <c:pt idx="10">
                  <c:v>2009785.35</c:v>
                </c:pt>
                <c:pt idx="11">
                  <c:v>3954917.85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1"/>
        </c:dLbls>
        <c:gapWidth val="150"/>
        <c:overlap val="0"/>
        <c:axId val="70732704"/>
        <c:axId val="69073289"/>
      </c:barChart>
      <c:catAx>
        <c:axId val="70732704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D9E2EC"/>
            </a:solidFill>
            <a:prstDash val="solid"/>
            <a:round/>
          </a:ln>
        </c:spPr>
        <c:txPr>
          <a:bodyPr rot="-1500000" spcFirstLastPara="0" vertOverflow="ellipsis" vert="horz" wrap="square" anchor="ctr" anchorCtr="1"/>
          <a:lstStyle/>
          <a:p>
            <a:pPr>
              <a:defRPr lang="en-US" sz="600" b="0" i="0" u="none" strike="noStrike" kern="1200" baseline="0">
                <a:solidFill>
                  <a:srgbClr val="000000"/>
                </a:solidFill>
                <a:uFillTx/>
                <a:latin typeface="Calibri" panose="020F0502020204030204"/>
                <a:ea typeface="Calibri" panose="020F0502020204030204"/>
                <a:cs typeface="+mn-cs"/>
              </a:defRPr>
            </a:pPr>
          </a:p>
        </c:txPr>
        <c:crossAx val="69073289"/>
        <c:crosses val="autoZero"/>
        <c:auto val="1"/>
        <c:lblAlgn val="ctr"/>
        <c:lblOffset val="100"/>
        <c:noMultiLvlLbl val="0"/>
      </c:catAx>
      <c:valAx>
        <c:axId val="69073289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0.0,,&quot; tr&quot;;[Red]\(0.0,,&quot; tr)&quot;;\-" sourceLinked="0"/>
        <c:majorTickMark val="none"/>
        <c:minorTickMark val="none"/>
        <c:tickLblPos val="nextTo"/>
        <c:spPr>
          <a:ln w="9360">
            <a:solidFill>
              <a:srgbClr val="D9E2EC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600" b="0" i="0" u="none" strike="noStrike" kern="1200" baseline="0">
                <a:solidFill>
                  <a:srgbClr val="000000"/>
                </a:solidFill>
                <a:uFillTx/>
                <a:latin typeface="Calibri" panose="020F0502020204030204"/>
                <a:ea typeface="Calibri" panose="020F0502020204030204"/>
                <a:cs typeface="+mn-cs"/>
              </a:defRPr>
            </a:pPr>
          </a:p>
        </c:txPr>
        <c:crossAx val="70732704"/>
        <c:crosses val="autoZero"/>
        <c:crossBetween val="between"/>
      </c:valAx>
    </c:plotArea>
    <c:legend>
      <c:legendPos val="b"/>
      <c:layout/>
      <c:overlay val="0"/>
      <c:spPr>
        <a:noFill/>
        <a:ln w="0">
          <a:noFill/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rgbClr val="000000"/>
              </a:solidFill>
              <a:uFillTx/>
              <a:latin typeface="Calibri" panose="020F0502020204030204"/>
              <a:ea typeface="Calibri" panose="020F0502020204030204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99e3772-f23c-4cfa-a3db-a96ab8b5c320}"/>
      </c:ext>
    </c:extLst>
  </c:chart>
  <c:spPr>
    <a:ln w="9360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300" b="0" i="0" u="none" strike="noStrike" kern="1200" baseline="0">
                <a:solidFill>
                  <a:schemeClr val="tx1"/>
                </a:solidFill>
                <a:uFillTx/>
                <a:latin typeface="Arial" panose="020B0604020202020204"/>
                <a:ea typeface="+mn-ea"/>
                <a:cs typeface="+mn-cs"/>
              </a:defRPr>
            </a:pPr>
            <a:r>
              <a:rPr sz="1800" b="1" strike="noStrike">
                <a:solidFill>
                  <a:srgbClr val="000000"/>
                </a:solidFill>
                <a:uFillTx/>
                <a:latin typeface="Calibri" panose="020F0502020204030204"/>
                <a:ea typeface="Calibri" panose="020F0502020204030204"/>
              </a:rPr>
              <a:t>Cơ cấu chi phí tháng</a:t>
            </a:r>
            <a:endParaRPr sz="1800" b="1" strike="noStrike">
              <a:solidFill>
                <a:srgbClr val="000000"/>
              </a:solidFill>
              <a:uFillTx/>
              <a:latin typeface="Calibri" panose="020F0502020204030204"/>
              <a:ea typeface="Calibri" panose="020F0502020204030204"/>
            </a:endParaRPr>
          </a:p>
        </c:rich>
      </c:tx>
      <c:layout/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"Chi phí"</c:f>
              <c:strCache>
                <c:ptCount val="1"/>
                <c:pt idx="0">
                  <c:v>Chi phí</c:v>
                </c:pt>
              </c:strCache>
            </c:strRef>
          </c:tx>
          <c:spPr>
            <a:ln w="1260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rgbClr val="000000"/>
                    </a:solidFill>
                    <a:uFillTx/>
                    <a:latin typeface="Calibri" panose="020F0502020204030204"/>
                    <a:ea typeface="Calibri" panose="020F0502020204030204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'04_Shopee'!$R$31:$R$37</c:f>
              <c:strCache>
                <c:ptCount val="7"/>
                <c:pt idx="0">
                  <c:v>Platform fees</c:v>
                </c:pt>
                <c:pt idx="1">
                  <c:v>Ads cost</c:v>
                </c:pt>
                <c:pt idx="2">
                  <c:v>Backoffice fee</c:v>
                </c:pt>
                <c:pt idx="3">
                  <c:v>Packaging cost</c:v>
                </c:pt>
                <c:pt idx="4">
                  <c:v>Shipping / return fee</c:v>
                </c:pt>
                <c:pt idx="5">
                  <c:v>Booking fee</c:v>
                </c:pt>
                <c:pt idx="6">
                  <c:v>Live cost</c:v>
                </c:pt>
              </c:strCache>
            </c:strRef>
          </c:cat>
          <c:val>
            <c:numRef>
              <c:f>'04_Shopee'!$S$31:$S$37</c:f>
              <c:numCache>
                <c:formatCode>#,##0</c:formatCode>
                <c:ptCount val="7"/>
                <c:pt idx="0">
                  <c:v>185847857</c:v>
                </c:pt>
                <c:pt idx="1">
                  <c:v>93518835</c:v>
                </c:pt>
                <c:pt idx="2">
                  <c:v>52025752.05</c:v>
                </c:pt>
                <c:pt idx="3">
                  <c:v>5686000</c:v>
                </c:pt>
                <c:pt idx="4">
                  <c:v>810000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1"/>
        </c:dLbls>
        <c:gapWidth val="150"/>
        <c:overlap val="0"/>
        <c:axId val="84677736"/>
        <c:axId val="55185555"/>
      </c:barChart>
      <c:catAx>
        <c:axId val="84677736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D9E2EC"/>
            </a:solidFill>
            <a:prstDash val="solid"/>
            <a:round/>
          </a:ln>
        </c:spPr>
        <c:txPr>
          <a:bodyPr rot="-1500000" spcFirstLastPara="0" vertOverflow="ellipsis" vert="horz" wrap="square" anchor="ctr" anchorCtr="1"/>
          <a:lstStyle/>
          <a:p>
            <a:pPr>
              <a:defRPr lang="en-US" sz="600" b="0" i="0" u="none" strike="noStrike" kern="1200" baseline="0">
                <a:solidFill>
                  <a:srgbClr val="000000"/>
                </a:solidFill>
                <a:uFillTx/>
                <a:latin typeface="Calibri" panose="020F0502020204030204"/>
                <a:ea typeface="Calibri" panose="020F0502020204030204"/>
                <a:cs typeface="+mn-cs"/>
              </a:defRPr>
            </a:pPr>
          </a:p>
        </c:txPr>
        <c:crossAx val="55185555"/>
        <c:crosses val="autoZero"/>
        <c:auto val="1"/>
        <c:lblAlgn val="ctr"/>
        <c:lblOffset val="100"/>
        <c:noMultiLvlLbl val="0"/>
      </c:catAx>
      <c:valAx>
        <c:axId val="55185555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0.0,,&quot; tr&quot;;[Red]\(0.0,,&quot; tr)&quot;;\-" sourceLinked="0"/>
        <c:majorTickMark val="none"/>
        <c:minorTickMark val="none"/>
        <c:tickLblPos val="nextTo"/>
        <c:spPr>
          <a:ln w="9360">
            <a:solidFill>
              <a:srgbClr val="D9E2EC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600" b="0" i="0" u="none" strike="noStrike" kern="1200" baseline="0">
                <a:solidFill>
                  <a:srgbClr val="000000"/>
                </a:solidFill>
                <a:uFillTx/>
                <a:latin typeface="Calibri" panose="020F0502020204030204"/>
                <a:ea typeface="Calibri" panose="020F0502020204030204"/>
                <a:cs typeface="+mn-cs"/>
              </a:defRPr>
            </a:pPr>
          </a:p>
        </c:txPr>
        <c:crossAx val="84677736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96145f91-e5ae-41a2-81b5-fb2cd32f3a7d}"/>
      </c:ext>
    </c:extLst>
  </c:chart>
  <c:spPr>
    <a:ln w="9360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300" b="0" i="0" u="none" strike="noStrike" kern="1200" baseline="0">
                <a:solidFill>
                  <a:schemeClr val="tx1"/>
                </a:solidFill>
                <a:uFillTx/>
                <a:latin typeface="Arial" panose="020B0604020202020204"/>
                <a:ea typeface="+mn-ea"/>
                <a:cs typeface="+mn-cs"/>
              </a:defRPr>
            </a:pPr>
            <a:r>
              <a:rPr sz="1800" b="1" strike="noStrike">
                <a:solidFill>
                  <a:srgbClr val="000000"/>
                </a:solidFill>
                <a:uFillTx/>
                <a:latin typeface="Calibri" panose="020F0502020204030204"/>
                <a:ea typeface="Calibri" panose="020F0502020204030204"/>
              </a:rPr>
              <a:t>Doanh thu thuần theo ngày: hiện tại vs kỳ trước</a:t>
            </a:r>
            <a:endParaRPr sz="1800" b="1" strike="noStrike">
              <a:solidFill>
                <a:srgbClr val="000000"/>
              </a:solidFill>
              <a:uFillTx/>
              <a:latin typeface="Calibri" panose="020F0502020204030204"/>
              <a:ea typeface="Calibri" panose="020F0502020204030204"/>
            </a:endParaRPr>
          </a:p>
        </c:rich>
      </c:tx>
      <c:layout/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"Hiện tại"</c:f>
              <c:strCache>
                <c:ptCount val="1"/>
                <c:pt idx="0">
                  <c:v>Hiện tại</c:v>
                </c:pt>
              </c:strCache>
            </c:strRef>
          </c:tx>
          <c:spPr>
            <a:ln w="12600" cap="rnd">
              <a:solidFill>
                <a:srgbClr val="156082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rgbClr val="000000"/>
                    </a:solidFill>
                    <a:uFillTx/>
                    <a:latin typeface="Calibri" panose="020F0502020204030204"/>
                    <a:ea typeface="Calibri" panose="020F0502020204030204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'05_TikTok'!$A$70:$A$97</c:f>
              <c:strCache>
                <c:ptCount val="12"/>
                <c:pt idx="0" c:formatCode="dd/mm">
                  <c:v>01/07</c:v>
                </c:pt>
                <c:pt idx="1" c:formatCode="dd/mm">
                  <c:v>02/07</c:v>
                </c:pt>
                <c:pt idx="2" c:formatCode="dd/mm">
                  <c:v>03/07</c:v>
                </c:pt>
                <c:pt idx="3" c:formatCode="dd/mm">
                  <c:v>04/07</c:v>
                </c:pt>
                <c:pt idx="4" c:formatCode="dd/mm">
                  <c:v>05/07</c:v>
                </c:pt>
                <c:pt idx="5" c:formatCode="dd/mm">
                  <c:v>06/07</c:v>
                </c:pt>
                <c:pt idx="6" c:formatCode="dd/mm">
                  <c:v>07/07</c:v>
                </c:pt>
                <c:pt idx="7" c:formatCode="dd/mm">
                  <c:v>08/07</c:v>
                </c:pt>
                <c:pt idx="8" c:formatCode="dd/mm">
                  <c:v>09/07</c:v>
                </c:pt>
                <c:pt idx="9" c:formatCode="dd/mm">
                  <c:v>10/07</c:v>
                </c:pt>
                <c:pt idx="10" c:formatCode="dd/mm">
                  <c:v>11/07</c:v>
                </c:pt>
                <c:pt idx="11" c:formatCode="dd/mm">
                  <c:v>12/07</c:v>
                </c:pt>
              </c:strCache>
            </c:strRef>
          </c:cat>
          <c:val>
            <c:numRef>
              <c:f>'05_TikTok'!$C$70:$C$97</c:f>
              <c:numCache>
                <c:formatCode>#,##0</c:formatCode>
                <c:ptCount val="12"/>
                <c:pt idx="0">
                  <c:v>5742000</c:v>
                </c:pt>
                <c:pt idx="1">
                  <c:v>10551000</c:v>
                </c:pt>
                <c:pt idx="2">
                  <c:v>8121000</c:v>
                </c:pt>
                <c:pt idx="3">
                  <c:v>10670000</c:v>
                </c:pt>
                <c:pt idx="4">
                  <c:v>8969000</c:v>
                </c:pt>
                <c:pt idx="5">
                  <c:v>7580000</c:v>
                </c:pt>
                <c:pt idx="6">
                  <c:v>22746610</c:v>
                </c:pt>
                <c:pt idx="7">
                  <c:v>11900000</c:v>
                </c:pt>
                <c:pt idx="8">
                  <c:v>8897000</c:v>
                </c:pt>
                <c:pt idx="9">
                  <c:v>12608000</c:v>
                </c:pt>
                <c:pt idx="10">
                  <c:v>11343000</c:v>
                </c:pt>
                <c:pt idx="11">
                  <c:v>9416000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"Kỳ trước"</c:f>
              <c:strCache>
                <c:ptCount val="1"/>
                <c:pt idx="0">
                  <c:v>Kỳ trước</c:v>
                </c:pt>
              </c:strCache>
            </c:strRef>
          </c:tx>
          <c:spPr>
            <a:ln w="12600" cap="rnd">
              <a:solidFill>
                <a:srgbClr val="E97132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rgbClr val="000000"/>
                    </a:solidFill>
                    <a:uFillTx/>
                    <a:latin typeface="Calibri" panose="020F0502020204030204"/>
                    <a:ea typeface="Calibri" panose="020F0502020204030204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'05_TikTok'!$A$70:$A$97</c:f>
              <c:strCache>
                <c:ptCount val="12"/>
                <c:pt idx="0" c:formatCode="dd/mm">
                  <c:v>01/07</c:v>
                </c:pt>
                <c:pt idx="1" c:formatCode="dd/mm">
                  <c:v>02/07</c:v>
                </c:pt>
                <c:pt idx="2" c:formatCode="dd/mm">
                  <c:v>03/07</c:v>
                </c:pt>
                <c:pt idx="3" c:formatCode="dd/mm">
                  <c:v>04/07</c:v>
                </c:pt>
                <c:pt idx="4" c:formatCode="dd/mm">
                  <c:v>05/07</c:v>
                </c:pt>
                <c:pt idx="5" c:formatCode="dd/mm">
                  <c:v>06/07</c:v>
                </c:pt>
                <c:pt idx="6" c:formatCode="dd/mm">
                  <c:v>07/07</c:v>
                </c:pt>
                <c:pt idx="7" c:formatCode="dd/mm">
                  <c:v>08/07</c:v>
                </c:pt>
                <c:pt idx="8" c:formatCode="dd/mm">
                  <c:v>09/07</c:v>
                </c:pt>
                <c:pt idx="9" c:formatCode="dd/mm">
                  <c:v>10/07</c:v>
                </c:pt>
                <c:pt idx="10" c:formatCode="dd/mm">
                  <c:v>11/07</c:v>
                </c:pt>
                <c:pt idx="11" c:formatCode="dd/mm">
                  <c:v>12/07</c:v>
                </c:pt>
              </c:strCache>
            </c:strRef>
          </c:cat>
          <c:val>
            <c:numRef>
              <c:f>'05_TikTok'!$P$70:$P$97</c:f>
              <c:numCache>
                <c:formatCode>#,##0</c:formatCode>
                <c:ptCount val="12"/>
                <c:pt idx="0">
                  <c:v>-282676.98</c:v>
                </c:pt>
                <c:pt idx="1">
                  <c:v>-21987.4</c:v>
                </c:pt>
                <c:pt idx="2">
                  <c:v>852915.15</c:v>
                </c:pt>
                <c:pt idx="3">
                  <c:v>-303957</c:v>
                </c:pt>
                <c:pt idx="4">
                  <c:v>295552.63</c:v>
                </c:pt>
                <c:pt idx="5">
                  <c:v>706178.87</c:v>
                </c:pt>
                <c:pt idx="6">
                  <c:v>-549061.59</c:v>
                </c:pt>
                <c:pt idx="7">
                  <c:v>419647.07</c:v>
                </c:pt>
                <c:pt idx="8">
                  <c:v>-166070.71</c:v>
                </c:pt>
                <c:pt idx="9">
                  <c:v>1330818.48</c:v>
                </c:pt>
                <c:pt idx="10">
                  <c:v>-50867.83</c:v>
                </c:pt>
                <c:pt idx="11">
                  <c:v>1011683.34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1"/>
        </c:dLbls>
        <c:hiLowLines>
          <c:spPr>
            <a:ln w="0">
              <a:noFill/>
              <a:prstDash val="solid"/>
              <a:round/>
            </a:ln>
          </c:spPr>
        </c:hiLowLines>
        <c:marker val="0"/>
        <c:smooth val="0"/>
        <c:axId val="18627658"/>
        <c:axId val="95833236"/>
      </c:lineChart>
      <c:catAx>
        <c:axId val="18627658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D9E2EC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600" b="0" i="0" u="none" strike="noStrike" kern="1200" baseline="0">
                <a:solidFill>
                  <a:srgbClr val="000000"/>
                </a:solidFill>
                <a:uFillTx/>
                <a:latin typeface="Calibri" panose="020F0502020204030204"/>
                <a:ea typeface="Calibri" panose="020F0502020204030204"/>
                <a:cs typeface="+mn-cs"/>
              </a:defRPr>
            </a:pPr>
          </a:p>
        </c:txPr>
        <c:crossAx val="95833236"/>
        <c:crosses val="autoZero"/>
        <c:auto val="1"/>
        <c:lblAlgn val="ctr"/>
        <c:lblOffset val="100"/>
        <c:noMultiLvlLbl val="0"/>
      </c:catAx>
      <c:valAx>
        <c:axId val="95833236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0.0,,&quot; tr&quot;;[Red]\(0.0,,&quot; tr)&quot;;\-" sourceLinked="0"/>
        <c:majorTickMark val="none"/>
        <c:minorTickMark val="none"/>
        <c:tickLblPos val="nextTo"/>
        <c:spPr>
          <a:ln w="9360">
            <a:solidFill>
              <a:srgbClr val="D9E2EC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600" b="0" i="0" u="none" strike="noStrike" kern="1200" baseline="0">
                <a:solidFill>
                  <a:srgbClr val="000000"/>
                </a:solidFill>
                <a:uFillTx/>
                <a:latin typeface="Calibri" panose="020F0502020204030204"/>
                <a:ea typeface="Calibri" panose="020F0502020204030204"/>
                <a:cs typeface="+mn-cs"/>
              </a:defRPr>
            </a:pPr>
          </a:p>
        </c:txPr>
        <c:crossAx val="18627658"/>
        <c:crosses val="autoZero"/>
        <c:crossBetween val="between"/>
      </c:valAx>
    </c:plotArea>
    <c:legend>
      <c:legendPos val="b"/>
      <c:layout/>
      <c:overlay val="0"/>
      <c:spPr>
        <a:noFill/>
        <a:ln w="0">
          <a:noFill/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rgbClr val="000000"/>
              </a:solidFill>
              <a:uFillTx/>
              <a:latin typeface="Calibri" panose="020F0502020204030204"/>
              <a:ea typeface="Calibri" panose="020F0502020204030204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9b87453-1d1b-4be6-8aa3-75e9ccfb8808}"/>
      </c:ext>
    </c:extLst>
  </c:chart>
  <c:spPr>
    <a:ln w="9360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300" b="0" i="0" u="none" strike="noStrike" kern="1200" baseline="0">
                <a:solidFill>
                  <a:schemeClr val="tx1"/>
                </a:solidFill>
                <a:uFillTx/>
                <a:latin typeface="Arial" panose="020B0604020202020204"/>
                <a:ea typeface="+mn-ea"/>
                <a:cs typeface="+mn-cs"/>
              </a:defRPr>
            </a:pPr>
            <a:r>
              <a:rPr sz="1800" b="1" strike="noStrike">
                <a:solidFill>
                  <a:srgbClr val="000000"/>
                </a:solidFill>
                <a:uFillTx/>
                <a:latin typeface="Calibri" panose="020F0502020204030204"/>
                <a:ea typeface="Calibri" panose="020F0502020204030204"/>
              </a:rPr>
              <a:t>Lợi nhuận theo ngày</a:t>
            </a:r>
            <a:endParaRPr sz="1800" b="1" strike="noStrike">
              <a:solidFill>
                <a:srgbClr val="000000"/>
              </a:solidFill>
              <a:uFillTx/>
              <a:latin typeface="Calibri" panose="020F0502020204030204"/>
              <a:ea typeface="Calibri" panose="020F0502020204030204"/>
            </a:endParaRPr>
          </a:p>
        </c:rich>
      </c:tx>
      <c:layout/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"Lợi nhuận"</c:f>
              <c:strCache>
                <c:ptCount val="1"/>
                <c:pt idx="0">
                  <c:v>Lợi nhuận</c:v>
                </c:pt>
              </c:strCache>
            </c:strRef>
          </c:tx>
          <c:spPr>
            <a:ln w="1260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rgbClr val="000000"/>
                    </a:solidFill>
                    <a:uFillTx/>
                    <a:latin typeface="Calibri" panose="020F0502020204030204"/>
                    <a:ea typeface="Calibri" panose="020F0502020204030204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'05_TikTok'!$A$70:$A$97</c:f>
              <c:strCache>
                <c:ptCount val="12"/>
                <c:pt idx="0" c:formatCode="dd/mm">
                  <c:v>01/07</c:v>
                </c:pt>
                <c:pt idx="1" c:formatCode="dd/mm">
                  <c:v>02/07</c:v>
                </c:pt>
                <c:pt idx="2" c:formatCode="dd/mm">
                  <c:v>03/07</c:v>
                </c:pt>
                <c:pt idx="3" c:formatCode="dd/mm">
                  <c:v>04/07</c:v>
                </c:pt>
                <c:pt idx="4" c:formatCode="dd/mm">
                  <c:v>05/07</c:v>
                </c:pt>
                <c:pt idx="5" c:formatCode="dd/mm">
                  <c:v>06/07</c:v>
                </c:pt>
                <c:pt idx="6" c:formatCode="dd/mm">
                  <c:v>07/07</c:v>
                </c:pt>
                <c:pt idx="7" c:formatCode="dd/mm">
                  <c:v>08/07</c:v>
                </c:pt>
                <c:pt idx="8" c:formatCode="dd/mm">
                  <c:v>09/07</c:v>
                </c:pt>
                <c:pt idx="9" c:formatCode="dd/mm">
                  <c:v>10/07</c:v>
                </c:pt>
                <c:pt idx="10" c:formatCode="dd/mm">
                  <c:v>11/07</c:v>
                </c:pt>
                <c:pt idx="11" c:formatCode="dd/mm">
                  <c:v>12/07</c:v>
                </c:pt>
              </c:strCache>
            </c:strRef>
          </c:cat>
          <c:val>
            <c:numRef>
              <c:f>'05_TikTok'!$N$70:$N$97</c:f>
              <c:numCache>
                <c:formatCode>#,##0</c:formatCode>
                <c:ptCount val="12"/>
                <c:pt idx="0">
                  <c:v>100000</c:v>
                </c:pt>
                <c:pt idx="1">
                  <c:v>168000</c:v>
                </c:pt>
                <c:pt idx="2">
                  <c:v>136000</c:v>
                </c:pt>
                <c:pt idx="3">
                  <c:v>166000</c:v>
                </c:pt>
                <c:pt idx="4">
                  <c:v>112000</c:v>
                </c:pt>
                <c:pt idx="5">
                  <c:v>114000</c:v>
                </c:pt>
                <c:pt idx="6">
                  <c:v>296000</c:v>
                </c:pt>
                <c:pt idx="7">
                  <c:v>184000</c:v>
                </c:pt>
                <c:pt idx="8">
                  <c:v>132000</c:v>
                </c:pt>
                <c:pt idx="9">
                  <c:v>208000</c:v>
                </c:pt>
                <c:pt idx="10">
                  <c:v>192000</c:v>
                </c:pt>
                <c:pt idx="11">
                  <c:v>174000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1"/>
        </c:dLbls>
        <c:gapWidth val="150"/>
        <c:overlap val="0"/>
        <c:axId val="58049634"/>
        <c:axId val="22678401"/>
      </c:barChart>
      <c:catAx>
        <c:axId val="58049634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D9E2EC"/>
            </a:solidFill>
            <a:prstDash val="solid"/>
            <a:round/>
          </a:ln>
        </c:spPr>
        <c:txPr>
          <a:bodyPr rot="-1500000" spcFirstLastPara="0" vertOverflow="ellipsis" vert="horz" wrap="square" anchor="ctr" anchorCtr="1"/>
          <a:lstStyle/>
          <a:p>
            <a:pPr>
              <a:defRPr lang="en-US" sz="600" b="0" i="0" u="none" strike="noStrike" kern="1200" baseline="0">
                <a:solidFill>
                  <a:srgbClr val="000000"/>
                </a:solidFill>
                <a:uFillTx/>
                <a:latin typeface="Calibri" panose="020F0502020204030204"/>
                <a:ea typeface="Calibri" panose="020F0502020204030204"/>
                <a:cs typeface="+mn-cs"/>
              </a:defRPr>
            </a:pPr>
          </a:p>
        </c:txPr>
        <c:crossAx val="22678401"/>
        <c:crosses val="autoZero"/>
        <c:auto val="1"/>
        <c:lblAlgn val="ctr"/>
        <c:lblOffset val="100"/>
        <c:noMultiLvlLbl val="0"/>
      </c:catAx>
      <c:valAx>
        <c:axId val="22678401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0.0,,&quot; tr&quot;;[Red]\(0.0,,&quot; tr)&quot;;\-" sourceLinked="0"/>
        <c:majorTickMark val="none"/>
        <c:minorTickMark val="none"/>
        <c:tickLblPos val="nextTo"/>
        <c:spPr>
          <a:ln w="9360">
            <a:solidFill>
              <a:srgbClr val="D9E2EC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600" b="0" i="0" u="none" strike="noStrike" kern="1200" baseline="0">
                <a:solidFill>
                  <a:srgbClr val="000000"/>
                </a:solidFill>
                <a:uFillTx/>
                <a:latin typeface="Calibri" panose="020F0502020204030204"/>
                <a:ea typeface="Calibri" panose="020F0502020204030204"/>
                <a:cs typeface="+mn-cs"/>
              </a:defRPr>
            </a:pPr>
          </a:p>
        </c:txPr>
        <c:crossAx val="58049634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d3b3bfbb-6c53-4fd7-8993-9a97408176c9}"/>
      </c:ext>
    </c:extLst>
  </c:chart>
  <c:spPr>
    <a:ln w="9360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300" b="0" i="0" u="none" strike="noStrike" kern="1200" baseline="0">
                <a:solidFill>
                  <a:schemeClr val="tx1"/>
                </a:solidFill>
                <a:uFillTx/>
                <a:latin typeface="Arial" panose="020B0604020202020204"/>
                <a:ea typeface="+mn-ea"/>
                <a:cs typeface="+mn-cs"/>
              </a:defRPr>
            </a:pPr>
            <a:r>
              <a:rPr sz="1800" b="1" strike="noStrike">
                <a:solidFill>
                  <a:srgbClr val="000000"/>
                </a:solidFill>
                <a:uFillTx/>
                <a:latin typeface="Calibri" panose="020F0502020204030204"/>
                <a:ea typeface="Calibri" panose="020F0502020204030204"/>
              </a:rPr>
              <a:t>4 nhóm chi phí chính theo ngày</a:t>
            </a:r>
            <a:endParaRPr sz="1800" b="1" strike="noStrike">
              <a:solidFill>
                <a:srgbClr val="000000"/>
              </a:solidFill>
              <a:uFillTx/>
              <a:latin typeface="Calibri" panose="020F0502020204030204"/>
              <a:ea typeface="Calibri" panose="020F0502020204030204"/>
            </a:endParaRPr>
          </a:p>
        </c:rich>
      </c:tx>
      <c:layout/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"Giá vốn"</c:f>
              <c:strCache>
                <c:ptCount val="1"/>
                <c:pt idx="0">
                  <c:v>Giá vốn</c:v>
                </c:pt>
              </c:strCache>
            </c:strRef>
          </c:tx>
          <c:spPr>
            <a:ln w="1260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rgbClr val="000000"/>
                    </a:solidFill>
                    <a:uFillTx/>
                    <a:latin typeface="Calibri" panose="020F0502020204030204"/>
                    <a:ea typeface="Calibri" panose="020F0502020204030204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'05_TikTok'!$A$70:$A$97</c:f>
              <c:strCache>
                <c:ptCount val="12"/>
                <c:pt idx="0" c:formatCode="dd/mm">
                  <c:v>01/07</c:v>
                </c:pt>
                <c:pt idx="1" c:formatCode="dd/mm">
                  <c:v>02/07</c:v>
                </c:pt>
                <c:pt idx="2" c:formatCode="dd/mm">
                  <c:v>03/07</c:v>
                </c:pt>
                <c:pt idx="3" c:formatCode="dd/mm">
                  <c:v>04/07</c:v>
                </c:pt>
                <c:pt idx="4" c:formatCode="dd/mm">
                  <c:v>05/07</c:v>
                </c:pt>
                <c:pt idx="5" c:formatCode="dd/mm">
                  <c:v>06/07</c:v>
                </c:pt>
                <c:pt idx="6" c:formatCode="dd/mm">
                  <c:v>07/07</c:v>
                </c:pt>
                <c:pt idx="7" c:formatCode="dd/mm">
                  <c:v>08/07</c:v>
                </c:pt>
                <c:pt idx="8" c:formatCode="dd/mm">
                  <c:v>09/07</c:v>
                </c:pt>
                <c:pt idx="9" c:formatCode="dd/mm">
                  <c:v>10/07</c:v>
                </c:pt>
                <c:pt idx="10" c:formatCode="dd/mm">
                  <c:v>11/07</c:v>
                </c:pt>
                <c:pt idx="11" c:formatCode="dd/mm">
                  <c:v>12/07</c:v>
                </c:pt>
              </c:strCache>
            </c:strRef>
          </c:cat>
          <c:val>
            <c:numRef>
              <c:f>'05_TikTok'!$F$70:$F$97</c:f>
              <c:numCache>
                <c:formatCode>0.0%</c:formatCode>
                <c:ptCount val="12"/>
                <c:pt idx="0">
                  <c:v>0.214285714285714</c:v>
                </c:pt>
                <c:pt idx="1">
                  <c:v>0.162790697674419</c:v>
                </c:pt>
                <c:pt idx="2">
                  <c:v>0.117647058823529</c:v>
                </c:pt>
                <c:pt idx="3">
                  <c:v>0.1</c:v>
                </c:pt>
                <c:pt idx="4">
                  <c:v>0.151515151515152</c:v>
                </c:pt>
                <c:pt idx="5">
                  <c:v>0.03125</c:v>
                </c:pt>
                <c:pt idx="6">
                  <c:v>0.134146341463415</c:v>
                </c:pt>
                <c:pt idx="7">
                  <c:v>0.104166666666667</c:v>
                </c:pt>
                <c:pt idx="8">
                  <c:v>0.181818181818182</c:v>
                </c:pt>
                <c:pt idx="9">
                  <c:v>0.115384615384615</c:v>
                </c:pt>
                <c:pt idx="10">
                  <c:v>0.108695652173913</c:v>
                </c:pt>
                <c:pt idx="11">
                  <c:v>0.195121951219512</c:v>
                </c:pt>
              </c:numCache>
            </c:numRef>
          </c:val>
        </c:ser>
        <c:ser>
          <c:idx val="1"/>
          <c:order val="1"/>
          <c:tx>
            <c:strRef>
              <c:f>"Phí sàn"</c:f>
              <c:strCache>
                <c:ptCount val="1"/>
                <c:pt idx="0">
                  <c:v>Phí sàn</c:v>
                </c:pt>
              </c:strCache>
            </c:strRef>
          </c:tx>
          <c:spPr>
            <a:ln w="1260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rgbClr val="000000"/>
                    </a:solidFill>
                    <a:uFillTx/>
                    <a:latin typeface="Calibri" panose="020F0502020204030204"/>
                    <a:ea typeface="Calibri" panose="020F0502020204030204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'05_TikTok'!$A$70:$A$97</c:f>
              <c:strCache>
                <c:ptCount val="12"/>
                <c:pt idx="0" c:formatCode="dd/mm">
                  <c:v>01/07</c:v>
                </c:pt>
                <c:pt idx="1" c:formatCode="dd/mm">
                  <c:v>02/07</c:v>
                </c:pt>
                <c:pt idx="2" c:formatCode="dd/mm">
                  <c:v>03/07</c:v>
                </c:pt>
                <c:pt idx="3" c:formatCode="dd/mm">
                  <c:v>04/07</c:v>
                </c:pt>
                <c:pt idx="4" c:formatCode="dd/mm">
                  <c:v>05/07</c:v>
                </c:pt>
                <c:pt idx="5" c:formatCode="dd/mm">
                  <c:v>06/07</c:v>
                </c:pt>
                <c:pt idx="6" c:formatCode="dd/mm">
                  <c:v>07/07</c:v>
                </c:pt>
                <c:pt idx="7" c:formatCode="dd/mm">
                  <c:v>08/07</c:v>
                </c:pt>
                <c:pt idx="8" c:formatCode="dd/mm">
                  <c:v>09/07</c:v>
                </c:pt>
                <c:pt idx="9" c:formatCode="dd/mm">
                  <c:v>10/07</c:v>
                </c:pt>
                <c:pt idx="10" c:formatCode="dd/mm">
                  <c:v>11/07</c:v>
                </c:pt>
                <c:pt idx="11" c:formatCode="dd/mm">
                  <c:v>12/07</c:v>
                </c:pt>
              </c:strCache>
            </c:strRef>
          </c:cat>
          <c:val>
            <c:numRef>
              <c:f>'05_TikTok'!$G$70:$G$97</c:f>
              <c:numCache>
                <c:formatCode>#,##0</c:formatCode>
                <c:ptCount val="12"/>
                <c:pt idx="0">
                  <c:v>1295743.98</c:v>
                </c:pt>
                <c:pt idx="1">
                  <c:v>2520135.4</c:v>
                </c:pt>
                <c:pt idx="2">
                  <c:v>1841423.85</c:v>
                </c:pt>
                <c:pt idx="3">
                  <c:v>2488996</c:v>
                </c:pt>
                <c:pt idx="4">
                  <c:v>2004248.37</c:v>
                </c:pt>
                <c:pt idx="5">
                  <c:v>1900940.13</c:v>
                </c:pt>
                <c:pt idx="6">
                  <c:v>6536957.59</c:v>
                </c:pt>
                <c:pt idx="7">
                  <c:v>3175470.93</c:v>
                </c:pt>
                <c:pt idx="8">
                  <c:v>2053825.71</c:v>
                </c:pt>
                <c:pt idx="9">
                  <c:v>3120468.52</c:v>
                </c:pt>
                <c:pt idx="10">
                  <c:v>2718856.83</c:v>
                </c:pt>
                <c:pt idx="11">
                  <c:v>2201207.66</c:v>
                </c:pt>
              </c:numCache>
            </c:numRef>
          </c:val>
        </c:ser>
        <c:ser>
          <c:idx val="2"/>
          <c:order val="2"/>
          <c:tx>
            <c:strRef>
              <c:f>"Backoffice"</c:f>
              <c:strCache>
                <c:ptCount val="1"/>
                <c:pt idx="0">
                  <c:v>Backoffice</c:v>
                </c:pt>
              </c:strCache>
            </c:strRef>
          </c:tx>
          <c:spPr>
            <a:ln w="1260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rgbClr val="000000"/>
                    </a:solidFill>
                    <a:uFillTx/>
                    <a:latin typeface="Calibri" panose="020F0502020204030204"/>
                    <a:ea typeface="Calibri" panose="020F0502020204030204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'05_TikTok'!$A$70:$A$97</c:f>
              <c:strCache>
                <c:ptCount val="12"/>
                <c:pt idx="0" c:formatCode="dd/mm">
                  <c:v>01/07</c:v>
                </c:pt>
                <c:pt idx="1" c:formatCode="dd/mm">
                  <c:v>02/07</c:v>
                </c:pt>
                <c:pt idx="2" c:formatCode="dd/mm">
                  <c:v>03/07</c:v>
                </c:pt>
                <c:pt idx="3" c:formatCode="dd/mm">
                  <c:v>04/07</c:v>
                </c:pt>
                <c:pt idx="4" c:formatCode="dd/mm">
                  <c:v>05/07</c:v>
                </c:pt>
                <c:pt idx="5" c:formatCode="dd/mm">
                  <c:v>06/07</c:v>
                </c:pt>
                <c:pt idx="6" c:formatCode="dd/mm">
                  <c:v>07/07</c:v>
                </c:pt>
                <c:pt idx="7" c:formatCode="dd/mm">
                  <c:v>08/07</c:v>
                </c:pt>
                <c:pt idx="8" c:formatCode="dd/mm">
                  <c:v>09/07</c:v>
                </c:pt>
                <c:pt idx="9" c:formatCode="dd/mm">
                  <c:v>10/07</c:v>
                </c:pt>
                <c:pt idx="10" c:formatCode="dd/mm">
                  <c:v>11/07</c:v>
                </c:pt>
                <c:pt idx="11" c:formatCode="dd/mm">
                  <c:v>12/07</c:v>
                </c:pt>
              </c:strCache>
            </c:strRef>
          </c:cat>
          <c:val>
            <c:numRef>
              <c:f>'05_TikTok'!$I$70:$I$97</c:f>
              <c:numCache>
                <c:formatCode>#,##0</c:formatCode>
                <c:ptCount val="12"/>
                <c:pt idx="0">
                  <c:v>30000</c:v>
                </c:pt>
                <c:pt idx="1">
                  <c:v>30000</c:v>
                </c:pt>
                <c:pt idx="2">
                  <c:v>0</c:v>
                </c:pt>
                <c:pt idx="3">
                  <c:v>60000</c:v>
                </c:pt>
                <c:pt idx="4">
                  <c:v>0</c:v>
                </c:pt>
                <c:pt idx="5">
                  <c:v>0</c:v>
                </c:pt>
                <c:pt idx="6">
                  <c:v>60000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3"/>
          <c:order val="3"/>
          <c:tx>
            <c:strRef>
              <c:f>"Ads"</c:f>
              <c:strCache>
                <c:ptCount val="1"/>
                <c:pt idx="0">
                  <c:v>Ads</c:v>
                </c:pt>
              </c:strCache>
            </c:strRef>
          </c:tx>
          <c:spPr>
            <a:ln w="1260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rgbClr val="000000"/>
                    </a:solidFill>
                    <a:uFillTx/>
                    <a:latin typeface="Calibri" panose="020F0502020204030204"/>
                    <a:ea typeface="Calibri" panose="020F0502020204030204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'05_TikTok'!$A$70:$A$97</c:f>
              <c:strCache>
                <c:ptCount val="12"/>
                <c:pt idx="0" c:formatCode="dd/mm">
                  <c:v>01/07</c:v>
                </c:pt>
                <c:pt idx="1" c:formatCode="dd/mm">
                  <c:v>02/07</c:v>
                </c:pt>
                <c:pt idx="2" c:formatCode="dd/mm">
                  <c:v>03/07</c:v>
                </c:pt>
                <c:pt idx="3" c:formatCode="dd/mm">
                  <c:v>04/07</c:v>
                </c:pt>
                <c:pt idx="4" c:formatCode="dd/mm">
                  <c:v>05/07</c:v>
                </c:pt>
                <c:pt idx="5" c:formatCode="dd/mm">
                  <c:v>06/07</c:v>
                </c:pt>
                <c:pt idx="6" c:formatCode="dd/mm">
                  <c:v>07/07</c:v>
                </c:pt>
                <c:pt idx="7" c:formatCode="dd/mm">
                  <c:v>08/07</c:v>
                </c:pt>
                <c:pt idx="8" c:formatCode="dd/mm">
                  <c:v>09/07</c:v>
                </c:pt>
                <c:pt idx="9" c:formatCode="dd/mm">
                  <c:v>10/07</c:v>
                </c:pt>
                <c:pt idx="10" c:formatCode="dd/mm">
                  <c:v>11/07</c:v>
                </c:pt>
                <c:pt idx="11" c:formatCode="dd/mm">
                  <c:v>12/07</c:v>
                </c:pt>
              </c:strCache>
            </c:strRef>
          </c:cat>
          <c:val>
            <c:numRef>
              <c:f>'05_TikTok'!$J$70:$J$97</c:f>
              <c:numCache>
                <c:formatCode>#,##0</c:formatCode>
                <c:ptCount val="12"/>
                <c:pt idx="0">
                  <c:v>632435</c:v>
                </c:pt>
                <c:pt idx="1">
                  <c:v>1067508</c:v>
                </c:pt>
                <c:pt idx="2">
                  <c:v>896604</c:v>
                </c:pt>
                <c:pt idx="3">
                  <c:v>1165548</c:v>
                </c:pt>
                <c:pt idx="4">
                  <c:v>973503</c:v>
                </c:pt>
                <c:pt idx="5">
                  <c:v>834756</c:v>
                </c:pt>
                <c:pt idx="6">
                  <c:v>2501208</c:v>
                </c:pt>
                <c:pt idx="7">
                  <c:v>1309825</c:v>
                </c:pt>
                <c:pt idx="8">
                  <c:v>982138</c:v>
                </c:pt>
                <c:pt idx="9">
                  <c:v>1370866</c:v>
                </c:pt>
                <c:pt idx="10">
                  <c:v>1241570</c:v>
                </c:pt>
                <c:pt idx="11">
                  <c:v>998226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1"/>
        </c:dLbls>
        <c:gapWidth val="150"/>
        <c:overlap val="0"/>
        <c:axId val="98635534"/>
        <c:axId val="88583865"/>
      </c:barChart>
      <c:catAx>
        <c:axId val="98635534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D9E2EC"/>
            </a:solidFill>
            <a:prstDash val="solid"/>
            <a:round/>
          </a:ln>
        </c:spPr>
        <c:txPr>
          <a:bodyPr rot="-1500000" spcFirstLastPara="0" vertOverflow="ellipsis" vert="horz" wrap="square" anchor="ctr" anchorCtr="1"/>
          <a:lstStyle/>
          <a:p>
            <a:pPr>
              <a:defRPr lang="en-US" sz="600" b="0" i="0" u="none" strike="noStrike" kern="1200" baseline="0">
                <a:solidFill>
                  <a:srgbClr val="000000"/>
                </a:solidFill>
                <a:uFillTx/>
                <a:latin typeface="Calibri" panose="020F0502020204030204"/>
                <a:ea typeface="Calibri" panose="020F0502020204030204"/>
                <a:cs typeface="+mn-cs"/>
              </a:defRPr>
            </a:pPr>
          </a:p>
        </c:txPr>
        <c:crossAx val="88583865"/>
        <c:crosses val="autoZero"/>
        <c:auto val="1"/>
        <c:lblAlgn val="ctr"/>
        <c:lblOffset val="100"/>
        <c:noMultiLvlLbl val="0"/>
      </c:catAx>
      <c:valAx>
        <c:axId val="88583865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0.0,,&quot; tr&quot;;[Red]\(0.0,,&quot; tr)&quot;;\-" sourceLinked="0"/>
        <c:majorTickMark val="none"/>
        <c:minorTickMark val="none"/>
        <c:tickLblPos val="nextTo"/>
        <c:spPr>
          <a:ln w="9360">
            <a:solidFill>
              <a:srgbClr val="D9E2EC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600" b="0" i="0" u="none" strike="noStrike" kern="1200" baseline="0">
                <a:solidFill>
                  <a:srgbClr val="000000"/>
                </a:solidFill>
                <a:uFillTx/>
                <a:latin typeface="Calibri" panose="020F0502020204030204"/>
                <a:ea typeface="Calibri" panose="020F0502020204030204"/>
                <a:cs typeface="+mn-cs"/>
              </a:defRPr>
            </a:pPr>
          </a:p>
        </c:txPr>
        <c:crossAx val="98635534"/>
        <c:crosses val="autoZero"/>
        <c:crossBetween val="between"/>
      </c:valAx>
    </c:plotArea>
    <c:legend>
      <c:legendPos val="b"/>
      <c:layout/>
      <c:overlay val="0"/>
      <c:spPr>
        <a:noFill/>
        <a:ln w="0">
          <a:noFill/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rgbClr val="000000"/>
              </a:solidFill>
              <a:uFillTx/>
              <a:latin typeface="Calibri" panose="020F0502020204030204"/>
              <a:ea typeface="Calibri" panose="020F0502020204030204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2eefa0d-4483-421c-983f-cba9cf6d31ec}"/>
      </c:ext>
    </c:extLst>
  </c:chart>
  <c:spPr>
    <a:ln w="9360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300" b="0" i="0" u="none" strike="noStrike" kern="1200" baseline="0">
                <a:solidFill>
                  <a:schemeClr val="tx1"/>
                </a:solidFill>
                <a:uFillTx/>
                <a:latin typeface="Arial" panose="020B0604020202020204"/>
                <a:ea typeface="+mn-ea"/>
                <a:cs typeface="+mn-cs"/>
              </a:defRPr>
            </a:pPr>
            <a:r>
              <a:rPr sz="1800" b="1" strike="noStrike">
                <a:solidFill>
                  <a:srgbClr val="000000"/>
                </a:solidFill>
                <a:uFillTx/>
                <a:latin typeface="Calibri" panose="020F0502020204030204"/>
                <a:ea typeface="Calibri" panose="020F0502020204030204"/>
              </a:rPr>
              <a:t>Cơ cấu chi phí tháng</a:t>
            </a:r>
            <a:endParaRPr sz="1800" b="1" strike="noStrike">
              <a:solidFill>
                <a:srgbClr val="000000"/>
              </a:solidFill>
              <a:uFillTx/>
              <a:latin typeface="Calibri" panose="020F0502020204030204"/>
              <a:ea typeface="Calibri" panose="020F0502020204030204"/>
            </a:endParaRPr>
          </a:p>
        </c:rich>
      </c:tx>
      <c:layout/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"Chi phí"</c:f>
              <c:strCache>
                <c:ptCount val="1"/>
                <c:pt idx="0">
                  <c:v>Chi phí</c:v>
                </c:pt>
              </c:strCache>
            </c:strRef>
          </c:tx>
          <c:spPr>
            <a:ln w="1260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rgbClr val="000000"/>
                    </a:solidFill>
                    <a:uFillTx/>
                    <a:latin typeface="Calibri" panose="020F0502020204030204"/>
                    <a:ea typeface="Calibri" panose="020F0502020204030204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'05_TikTok'!$R$31:$R$37</c:f>
              <c:strCache>
                <c:ptCount val="7"/>
                <c:pt idx="0">
                  <c:v>Platform fees</c:v>
                </c:pt>
                <c:pt idx="1">
                  <c:v>Ads cost</c:v>
                </c:pt>
                <c:pt idx="2">
                  <c:v>Backoffice fee</c:v>
                </c:pt>
                <c:pt idx="3">
                  <c:v>Live cost</c:v>
                </c:pt>
                <c:pt idx="4">
                  <c:v>Packaging cost</c:v>
                </c:pt>
                <c:pt idx="5">
                  <c:v>Shipping / return fee</c:v>
                </c:pt>
                <c:pt idx="6">
                  <c:v>Booking fee</c:v>
                </c:pt>
              </c:strCache>
            </c:strRef>
          </c:cat>
          <c:val>
            <c:numRef>
              <c:f>'05_TikTok'!$S$31:$S$37</c:f>
              <c:numCache>
                <c:formatCode>#,##0</c:formatCode>
                <c:ptCount val="7"/>
                <c:pt idx="0">
                  <c:v>41568592</c:v>
                </c:pt>
                <c:pt idx="1">
                  <c:v>32903994</c:v>
                </c:pt>
                <c:pt idx="2">
                  <c:v>13974187</c:v>
                </c:pt>
                <c:pt idx="3">
                  <c:v>2722500</c:v>
                </c:pt>
                <c:pt idx="4">
                  <c:v>1982000</c:v>
                </c:pt>
                <c:pt idx="5">
                  <c:v>180000</c:v>
                </c:pt>
                <c:pt idx="6">
                  <c:v>111888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1"/>
        </c:dLbls>
        <c:gapWidth val="150"/>
        <c:overlap val="0"/>
        <c:axId val="79388447"/>
        <c:axId val="43036009"/>
      </c:barChart>
      <c:catAx>
        <c:axId val="79388447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D9E2EC"/>
            </a:solidFill>
            <a:prstDash val="solid"/>
            <a:round/>
          </a:ln>
        </c:spPr>
        <c:txPr>
          <a:bodyPr rot="-1500000" spcFirstLastPara="0" vertOverflow="ellipsis" vert="horz" wrap="square" anchor="ctr" anchorCtr="1"/>
          <a:lstStyle/>
          <a:p>
            <a:pPr>
              <a:defRPr lang="en-US" sz="600" b="0" i="0" u="none" strike="noStrike" kern="1200" baseline="0">
                <a:solidFill>
                  <a:srgbClr val="000000"/>
                </a:solidFill>
                <a:uFillTx/>
                <a:latin typeface="Calibri" panose="020F0502020204030204"/>
                <a:ea typeface="Calibri" panose="020F0502020204030204"/>
                <a:cs typeface="+mn-cs"/>
              </a:defRPr>
            </a:pPr>
          </a:p>
        </c:txPr>
        <c:crossAx val="43036009"/>
        <c:crosses val="autoZero"/>
        <c:auto val="1"/>
        <c:lblAlgn val="ctr"/>
        <c:lblOffset val="100"/>
        <c:noMultiLvlLbl val="0"/>
      </c:catAx>
      <c:valAx>
        <c:axId val="43036009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0.0,,&quot; tr&quot;;[Red]\(0.0,,&quot; tr)&quot;;\-" sourceLinked="0"/>
        <c:majorTickMark val="none"/>
        <c:minorTickMark val="none"/>
        <c:tickLblPos val="nextTo"/>
        <c:spPr>
          <a:ln w="9360">
            <a:solidFill>
              <a:srgbClr val="D9E2EC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600" b="0" i="0" u="none" strike="noStrike" kern="1200" baseline="0">
                <a:solidFill>
                  <a:srgbClr val="000000"/>
                </a:solidFill>
                <a:uFillTx/>
                <a:latin typeface="Calibri" panose="020F0502020204030204"/>
                <a:ea typeface="Calibri" panose="020F0502020204030204"/>
                <a:cs typeface="+mn-cs"/>
              </a:defRPr>
            </a:pPr>
          </a:p>
        </c:txPr>
        <c:crossAx val="79388447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d06d73c4-ed84-43e6-ae5d-85eec7159a9f}"/>
      </c:ext>
    </c:extLst>
  </c:chart>
  <c:spPr>
    <a:ln w="9360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4" Type="http://schemas.openxmlformats.org/officeDocument/2006/relationships/chart" Target="../charts/chart8.xml"/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4" Type="http://schemas.openxmlformats.org/officeDocument/2006/relationships/chart" Target="../charts/chart12.xml"/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4" Type="http://schemas.openxmlformats.org/officeDocument/2006/relationships/chart" Target="../charts/chart16.xml"/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5.xml.rels><?xml version="1.0" encoding="UTF-8" standalone="yes"?>
<Relationships xmlns="http://schemas.openxmlformats.org/package/2006/relationships"><Relationship Id="rId4" Type="http://schemas.openxmlformats.org/officeDocument/2006/relationships/chart" Target="../charts/chart20.xml"/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6.xml.rels><?xml version="1.0" encoding="UTF-8" standalone="yes"?>
<Relationships xmlns="http://schemas.openxmlformats.org/package/2006/relationships"><Relationship Id="rId4" Type="http://schemas.openxmlformats.org/officeDocument/2006/relationships/chart" Target="../charts/chart24.xml"/><Relationship Id="rId3" Type="http://schemas.openxmlformats.org/officeDocument/2006/relationships/chart" Target="../charts/chart23.xml"/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15</xdr:row>
      <xdr:rowOff>0</xdr:rowOff>
    </xdr:from>
    <xdr:to>
      <xdr:col>8</xdr:col>
      <xdr:colOff>0</xdr:colOff>
      <xdr:row>31</xdr:row>
      <xdr:rowOff>190080</xdr:rowOff>
    </xdr:to>
    <xdr:graphicFrame>
      <xdr:nvGraphicFramePr>
        <xdr:cNvPr id="2" name="Chart 1"/>
        <xdr:cNvGraphicFramePr/>
      </xdr:nvGraphicFramePr>
      <xdr:xfrm>
        <a:off x="0" y="4210050"/>
        <a:ext cx="7063740" cy="32378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15</xdr:row>
      <xdr:rowOff>0</xdr:rowOff>
    </xdr:from>
    <xdr:to>
      <xdr:col>16</xdr:col>
      <xdr:colOff>0</xdr:colOff>
      <xdr:row>31</xdr:row>
      <xdr:rowOff>190080</xdr:rowOff>
    </xdr:to>
    <xdr:graphicFrame>
      <xdr:nvGraphicFramePr>
        <xdr:cNvPr id="3" name="Chart 2"/>
        <xdr:cNvGraphicFramePr/>
      </xdr:nvGraphicFramePr>
      <xdr:xfrm>
        <a:off x="7063740" y="4210050"/>
        <a:ext cx="7063740" cy="32378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32</xdr:row>
      <xdr:rowOff>0</xdr:rowOff>
    </xdr:from>
    <xdr:to>
      <xdr:col>8</xdr:col>
      <xdr:colOff>0</xdr:colOff>
      <xdr:row>46</xdr:row>
      <xdr:rowOff>190080</xdr:rowOff>
    </xdr:to>
    <xdr:graphicFrame>
      <xdr:nvGraphicFramePr>
        <xdr:cNvPr id="4" name="Chart 3"/>
        <xdr:cNvGraphicFramePr/>
      </xdr:nvGraphicFramePr>
      <xdr:xfrm>
        <a:off x="0" y="7448550"/>
        <a:ext cx="7063740" cy="28568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8</xdr:col>
      <xdr:colOff>0</xdr:colOff>
      <xdr:row>32</xdr:row>
      <xdr:rowOff>0</xdr:rowOff>
    </xdr:from>
    <xdr:to>
      <xdr:col>16</xdr:col>
      <xdr:colOff>0</xdr:colOff>
      <xdr:row>46</xdr:row>
      <xdr:rowOff>190080</xdr:rowOff>
    </xdr:to>
    <xdr:graphicFrame>
      <xdr:nvGraphicFramePr>
        <xdr:cNvPr id="5" name="Chart 4"/>
        <xdr:cNvGraphicFramePr/>
      </xdr:nvGraphicFramePr>
      <xdr:xfrm>
        <a:off x="7063740" y="7448550"/>
        <a:ext cx="7063740" cy="28568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15</xdr:row>
      <xdr:rowOff>0</xdr:rowOff>
    </xdr:from>
    <xdr:to>
      <xdr:col>8</xdr:col>
      <xdr:colOff>0</xdr:colOff>
      <xdr:row>31</xdr:row>
      <xdr:rowOff>190080</xdr:rowOff>
    </xdr:to>
    <xdr:graphicFrame>
      <xdr:nvGraphicFramePr>
        <xdr:cNvPr id="2" name="Chart 1"/>
        <xdr:cNvGraphicFramePr/>
      </xdr:nvGraphicFramePr>
      <xdr:xfrm>
        <a:off x="0" y="4210050"/>
        <a:ext cx="7338060" cy="32378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15</xdr:row>
      <xdr:rowOff>0</xdr:rowOff>
    </xdr:from>
    <xdr:to>
      <xdr:col>16</xdr:col>
      <xdr:colOff>0</xdr:colOff>
      <xdr:row>31</xdr:row>
      <xdr:rowOff>190080</xdr:rowOff>
    </xdr:to>
    <xdr:graphicFrame>
      <xdr:nvGraphicFramePr>
        <xdr:cNvPr id="3" name="Chart 2"/>
        <xdr:cNvGraphicFramePr/>
      </xdr:nvGraphicFramePr>
      <xdr:xfrm>
        <a:off x="7338060" y="4210050"/>
        <a:ext cx="7269480" cy="32378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32</xdr:row>
      <xdr:rowOff>0</xdr:rowOff>
    </xdr:from>
    <xdr:to>
      <xdr:col>8</xdr:col>
      <xdr:colOff>0</xdr:colOff>
      <xdr:row>47</xdr:row>
      <xdr:rowOff>190080</xdr:rowOff>
    </xdr:to>
    <xdr:graphicFrame>
      <xdr:nvGraphicFramePr>
        <xdr:cNvPr id="4" name="Chart 3"/>
        <xdr:cNvGraphicFramePr/>
      </xdr:nvGraphicFramePr>
      <xdr:xfrm>
        <a:off x="0" y="7448550"/>
        <a:ext cx="7338060" cy="30473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8</xdr:col>
      <xdr:colOff>0</xdr:colOff>
      <xdr:row>32</xdr:row>
      <xdr:rowOff>0</xdr:rowOff>
    </xdr:from>
    <xdr:to>
      <xdr:col>16</xdr:col>
      <xdr:colOff>0</xdr:colOff>
      <xdr:row>47</xdr:row>
      <xdr:rowOff>190080</xdr:rowOff>
    </xdr:to>
    <xdr:graphicFrame>
      <xdr:nvGraphicFramePr>
        <xdr:cNvPr id="5" name="Chart 4"/>
        <xdr:cNvGraphicFramePr/>
      </xdr:nvGraphicFramePr>
      <xdr:xfrm>
        <a:off x="7338060" y="7448550"/>
        <a:ext cx="7269480" cy="30473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15</xdr:row>
      <xdr:rowOff>0</xdr:rowOff>
    </xdr:from>
    <xdr:to>
      <xdr:col>8</xdr:col>
      <xdr:colOff>0</xdr:colOff>
      <xdr:row>31</xdr:row>
      <xdr:rowOff>190080</xdr:rowOff>
    </xdr:to>
    <xdr:graphicFrame>
      <xdr:nvGraphicFramePr>
        <xdr:cNvPr id="2" name="Chart 1"/>
        <xdr:cNvGraphicFramePr/>
      </xdr:nvGraphicFramePr>
      <xdr:xfrm>
        <a:off x="0" y="4210050"/>
        <a:ext cx="7338060" cy="32378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15</xdr:row>
      <xdr:rowOff>0</xdr:rowOff>
    </xdr:from>
    <xdr:to>
      <xdr:col>16</xdr:col>
      <xdr:colOff>0</xdr:colOff>
      <xdr:row>31</xdr:row>
      <xdr:rowOff>190080</xdr:rowOff>
    </xdr:to>
    <xdr:graphicFrame>
      <xdr:nvGraphicFramePr>
        <xdr:cNvPr id="3" name="Chart 2"/>
        <xdr:cNvGraphicFramePr/>
      </xdr:nvGraphicFramePr>
      <xdr:xfrm>
        <a:off x="7338060" y="4210050"/>
        <a:ext cx="7269480" cy="32378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32</xdr:row>
      <xdr:rowOff>0</xdr:rowOff>
    </xdr:from>
    <xdr:to>
      <xdr:col>8</xdr:col>
      <xdr:colOff>0</xdr:colOff>
      <xdr:row>47</xdr:row>
      <xdr:rowOff>190080</xdr:rowOff>
    </xdr:to>
    <xdr:graphicFrame>
      <xdr:nvGraphicFramePr>
        <xdr:cNvPr id="4" name="Chart 3"/>
        <xdr:cNvGraphicFramePr/>
      </xdr:nvGraphicFramePr>
      <xdr:xfrm>
        <a:off x="0" y="7448550"/>
        <a:ext cx="7338060" cy="30473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8</xdr:col>
      <xdr:colOff>0</xdr:colOff>
      <xdr:row>32</xdr:row>
      <xdr:rowOff>0</xdr:rowOff>
    </xdr:from>
    <xdr:to>
      <xdr:col>16</xdr:col>
      <xdr:colOff>0</xdr:colOff>
      <xdr:row>47</xdr:row>
      <xdr:rowOff>190080</xdr:rowOff>
    </xdr:to>
    <xdr:graphicFrame>
      <xdr:nvGraphicFramePr>
        <xdr:cNvPr id="5" name="Chart 4"/>
        <xdr:cNvGraphicFramePr/>
      </xdr:nvGraphicFramePr>
      <xdr:xfrm>
        <a:off x="7338060" y="7448550"/>
        <a:ext cx="7269480" cy="30473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15</xdr:row>
      <xdr:rowOff>0</xdr:rowOff>
    </xdr:from>
    <xdr:to>
      <xdr:col>8</xdr:col>
      <xdr:colOff>0</xdr:colOff>
      <xdr:row>31</xdr:row>
      <xdr:rowOff>190080</xdr:rowOff>
    </xdr:to>
    <xdr:graphicFrame>
      <xdr:nvGraphicFramePr>
        <xdr:cNvPr id="2" name="Chart 1"/>
        <xdr:cNvGraphicFramePr/>
      </xdr:nvGraphicFramePr>
      <xdr:xfrm>
        <a:off x="0" y="4210050"/>
        <a:ext cx="7338060" cy="32378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15</xdr:row>
      <xdr:rowOff>0</xdr:rowOff>
    </xdr:from>
    <xdr:to>
      <xdr:col>16</xdr:col>
      <xdr:colOff>0</xdr:colOff>
      <xdr:row>31</xdr:row>
      <xdr:rowOff>190080</xdr:rowOff>
    </xdr:to>
    <xdr:graphicFrame>
      <xdr:nvGraphicFramePr>
        <xdr:cNvPr id="3" name="Chart 2"/>
        <xdr:cNvGraphicFramePr/>
      </xdr:nvGraphicFramePr>
      <xdr:xfrm>
        <a:off x="7338060" y="4210050"/>
        <a:ext cx="7269480" cy="32378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32</xdr:row>
      <xdr:rowOff>0</xdr:rowOff>
    </xdr:from>
    <xdr:to>
      <xdr:col>8</xdr:col>
      <xdr:colOff>0</xdr:colOff>
      <xdr:row>47</xdr:row>
      <xdr:rowOff>190080</xdr:rowOff>
    </xdr:to>
    <xdr:graphicFrame>
      <xdr:nvGraphicFramePr>
        <xdr:cNvPr id="4" name="Chart 3"/>
        <xdr:cNvGraphicFramePr/>
      </xdr:nvGraphicFramePr>
      <xdr:xfrm>
        <a:off x="0" y="7448550"/>
        <a:ext cx="7338060" cy="30473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8</xdr:col>
      <xdr:colOff>0</xdr:colOff>
      <xdr:row>32</xdr:row>
      <xdr:rowOff>0</xdr:rowOff>
    </xdr:from>
    <xdr:to>
      <xdr:col>16</xdr:col>
      <xdr:colOff>0</xdr:colOff>
      <xdr:row>47</xdr:row>
      <xdr:rowOff>190080</xdr:rowOff>
    </xdr:to>
    <xdr:graphicFrame>
      <xdr:nvGraphicFramePr>
        <xdr:cNvPr id="5" name="Chart 4"/>
        <xdr:cNvGraphicFramePr/>
      </xdr:nvGraphicFramePr>
      <xdr:xfrm>
        <a:off x="7338060" y="7448550"/>
        <a:ext cx="7269480" cy="30473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15</xdr:row>
      <xdr:rowOff>0</xdr:rowOff>
    </xdr:from>
    <xdr:to>
      <xdr:col>8</xdr:col>
      <xdr:colOff>0</xdr:colOff>
      <xdr:row>31</xdr:row>
      <xdr:rowOff>190080</xdr:rowOff>
    </xdr:to>
    <xdr:graphicFrame>
      <xdr:nvGraphicFramePr>
        <xdr:cNvPr id="2" name="Chart 1"/>
        <xdr:cNvGraphicFramePr/>
      </xdr:nvGraphicFramePr>
      <xdr:xfrm>
        <a:off x="0" y="4210050"/>
        <a:ext cx="7338060" cy="32378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15</xdr:row>
      <xdr:rowOff>0</xdr:rowOff>
    </xdr:from>
    <xdr:to>
      <xdr:col>16</xdr:col>
      <xdr:colOff>0</xdr:colOff>
      <xdr:row>31</xdr:row>
      <xdr:rowOff>190080</xdr:rowOff>
    </xdr:to>
    <xdr:graphicFrame>
      <xdr:nvGraphicFramePr>
        <xdr:cNvPr id="3" name="Chart 2"/>
        <xdr:cNvGraphicFramePr/>
      </xdr:nvGraphicFramePr>
      <xdr:xfrm>
        <a:off x="7338060" y="4210050"/>
        <a:ext cx="7269480" cy="32378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32</xdr:row>
      <xdr:rowOff>0</xdr:rowOff>
    </xdr:from>
    <xdr:to>
      <xdr:col>8</xdr:col>
      <xdr:colOff>0</xdr:colOff>
      <xdr:row>47</xdr:row>
      <xdr:rowOff>190080</xdr:rowOff>
    </xdr:to>
    <xdr:graphicFrame>
      <xdr:nvGraphicFramePr>
        <xdr:cNvPr id="4" name="Chart 3"/>
        <xdr:cNvGraphicFramePr/>
      </xdr:nvGraphicFramePr>
      <xdr:xfrm>
        <a:off x="0" y="7448550"/>
        <a:ext cx="7338060" cy="30473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8</xdr:col>
      <xdr:colOff>0</xdr:colOff>
      <xdr:row>32</xdr:row>
      <xdr:rowOff>0</xdr:rowOff>
    </xdr:from>
    <xdr:to>
      <xdr:col>16</xdr:col>
      <xdr:colOff>0</xdr:colOff>
      <xdr:row>47</xdr:row>
      <xdr:rowOff>190080</xdr:rowOff>
    </xdr:to>
    <xdr:graphicFrame>
      <xdr:nvGraphicFramePr>
        <xdr:cNvPr id="5" name="Chart 4"/>
        <xdr:cNvGraphicFramePr/>
      </xdr:nvGraphicFramePr>
      <xdr:xfrm>
        <a:off x="7338060" y="7448550"/>
        <a:ext cx="7269480" cy="30473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15</xdr:row>
      <xdr:rowOff>0</xdr:rowOff>
    </xdr:from>
    <xdr:to>
      <xdr:col>8</xdr:col>
      <xdr:colOff>0</xdr:colOff>
      <xdr:row>31</xdr:row>
      <xdr:rowOff>190080</xdr:rowOff>
    </xdr:to>
    <xdr:graphicFrame>
      <xdr:nvGraphicFramePr>
        <xdr:cNvPr id="2" name="Chart 1"/>
        <xdr:cNvGraphicFramePr/>
      </xdr:nvGraphicFramePr>
      <xdr:xfrm>
        <a:off x="0" y="4210050"/>
        <a:ext cx="7338060" cy="32378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15</xdr:row>
      <xdr:rowOff>0</xdr:rowOff>
    </xdr:from>
    <xdr:to>
      <xdr:col>16</xdr:col>
      <xdr:colOff>0</xdr:colOff>
      <xdr:row>31</xdr:row>
      <xdr:rowOff>190080</xdr:rowOff>
    </xdr:to>
    <xdr:graphicFrame>
      <xdr:nvGraphicFramePr>
        <xdr:cNvPr id="3" name="Chart 2"/>
        <xdr:cNvGraphicFramePr/>
      </xdr:nvGraphicFramePr>
      <xdr:xfrm>
        <a:off x="7338060" y="4210050"/>
        <a:ext cx="7269480" cy="32378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32</xdr:row>
      <xdr:rowOff>0</xdr:rowOff>
    </xdr:from>
    <xdr:to>
      <xdr:col>8</xdr:col>
      <xdr:colOff>0</xdr:colOff>
      <xdr:row>47</xdr:row>
      <xdr:rowOff>190080</xdr:rowOff>
    </xdr:to>
    <xdr:graphicFrame>
      <xdr:nvGraphicFramePr>
        <xdr:cNvPr id="4" name="Chart 3"/>
        <xdr:cNvGraphicFramePr/>
      </xdr:nvGraphicFramePr>
      <xdr:xfrm>
        <a:off x="0" y="7448550"/>
        <a:ext cx="7338060" cy="30473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8</xdr:col>
      <xdr:colOff>0</xdr:colOff>
      <xdr:row>32</xdr:row>
      <xdr:rowOff>0</xdr:rowOff>
    </xdr:from>
    <xdr:to>
      <xdr:col>16</xdr:col>
      <xdr:colOff>0</xdr:colOff>
      <xdr:row>47</xdr:row>
      <xdr:rowOff>190080</xdr:rowOff>
    </xdr:to>
    <xdr:graphicFrame>
      <xdr:nvGraphicFramePr>
        <xdr:cNvPr id="5" name="Chart 4"/>
        <xdr:cNvGraphicFramePr/>
      </xdr:nvGraphicFramePr>
      <xdr:xfrm>
        <a:off x="7338060" y="7448550"/>
        <a:ext cx="7269480" cy="30473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36"/>
  <sheetViews>
    <sheetView showGridLines="0" tabSelected="1" workbookViewId="0">
      <selection activeCell="Q121" sqref="$A121:$XFD124"/>
    </sheetView>
  </sheetViews>
  <sheetFormatPr defaultColWidth="8.67592592592593" defaultRowHeight="13.2"/>
  <cols>
    <col min="1" max="1" width="12" customWidth="1"/>
    <col min="2" max="3" width="14" customWidth="1"/>
    <col min="4" max="4" width="10" customWidth="1"/>
    <col min="5" max="5" width="11" customWidth="1"/>
    <col min="6" max="10" width="14" customWidth="1"/>
    <col min="11" max="13" width="12" customWidth="1"/>
    <col min="14" max="14" width="14" customWidth="1"/>
    <col min="15" max="15" width="11" customWidth="1"/>
    <col min="16" max="16" width="14" customWidth="1"/>
    <col min="18" max="19" width="2.5" customWidth="1"/>
  </cols>
  <sheetData>
    <row r="1" ht="30" customHeight="1" spans="1:20">
      <c r="A1" s="1" t="s">
        <v>0</v>
      </c>
      <c r="R1" s="2" t="s">
        <v>1</v>
      </c>
      <c r="S1" s="3">
        <v>964407426</v>
      </c>
      <c r="T1" t="s">
        <v>1</v>
      </c>
    </row>
    <row r="2" ht="30" customHeight="1" spans="1:20">
      <c r="R2" s="2" t="s">
        <v>2</v>
      </c>
      <c r="S2" s="3">
        <v>1118630092</v>
      </c>
      <c r="T2" t="s">
        <v>2</v>
      </c>
    </row>
    <row r="3" ht="21.75" customHeight="1" spans="1:20">
      <c r="A3" s="5" t="s">
        <v>3</v>
      </c>
      <c r="D3" s="4" t="s">
        <v>4</v>
      </c>
      <c r="G3" s="4" t="s">
        <v>5</v>
      </c>
      <c r="J3" s="4" t="s">
        <v>6</v>
      </c>
      <c r="M3" s="4" t="s">
        <v>7</v>
      </c>
      <c r="O3" s="4" t="s">
        <v>8</v>
      </c>
      <c r="R3" s="2" t="s">
        <v>9</v>
      </c>
      <c r="S3" s="3">
        <v>145537267.61</v>
      </c>
      <c r="T3" t="s">
        <v>9</v>
      </c>
    </row>
    <row r="4" ht="19.5" customHeight="1" spans="1:20">
      <c r="A4" s="6" t="s">
        <v>10</v>
      </c>
      <c r="R4" s="2" t="s">
        <v>11</v>
      </c>
      <c r="S4" s="3">
        <v>200305866.83</v>
      </c>
      <c r="T4" t="s">
        <v>11</v>
      </c>
    </row>
    <row r="5" ht="15" customHeight="1" spans="1:20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R5" s="2" t="s">
        <v>12</v>
      </c>
      <c r="S5" s="8">
        <v>0.150908489178307</v>
      </c>
      <c r="T5" t="s">
        <v>12</v>
      </c>
    </row>
    <row r="6" ht="19.5" customHeight="1" spans="1:20">
      <c r="A6" s="5" t="s">
        <v>13</v>
      </c>
      <c r="D6" s="7"/>
      <c r="E6" s="5" t="s">
        <v>14</v>
      </c>
      <c r="H6" s="7"/>
      <c r="I6" s="5" t="s">
        <v>15</v>
      </c>
      <c r="L6" s="7"/>
      <c r="M6" s="5" t="s">
        <v>16</v>
      </c>
      <c r="P6" s="7"/>
      <c r="R6" s="2" t="s">
        <v>17</v>
      </c>
      <c r="S6" s="8">
        <v>0.179063542329594</v>
      </c>
      <c r="T6" t="s">
        <v>17</v>
      </c>
    </row>
    <row r="7" ht="25.5" customHeight="1" spans="1:20">
      <c r="A7" s="10">
        <f>$S$1</f>
        <v>964407426</v>
      </c>
      <c r="D7" s="7"/>
      <c r="E7" s="10">
        <f>$S$3</f>
        <v>145537267.61</v>
      </c>
      <c r="H7" s="7"/>
      <c r="I7" s="11">
        <f>$S$5</f>
        <v>0.150908489178307</v>
      </c>
      <c r="L7" s="7"/>
      <c r="M7" s="12">
        <f>$S$7</f>
        <v>2412</v>
      </c>
      <c r="P7" s="7"/>
      <c r="R7" s="2" t="s">
        <v>18</v>
      </c>
      <c r="S7" s="3">
        <v>2412</v>
      </c>
      <c r="T7" t="s">
        <v>18</v>
      </c>
    </row>
    <row r="8" ht="25.5" customHeight="1" spans="1:20">
      <c r="D8" s="7"/>
      <c r="H8" s="7"/>
      <c r="L8" s="7"/>
      <c r="P8" s="7"/>
      <c r="R8" s="2" t="s">
        <v>19</v>
      </c>
      <c r="S8" s="3">
        <v>2528</v>
      </c>
      <c r="T8" t="s">
        <v>19</v>
      </c>
    </row>
    <row r="9" ht="18.75" customHeight="1" spans="1:20">
      <c r="A9" s="13">
        <f>IFERROR($S$1/$S$2-1,0)</f>
        <v>-0.137867439024696</v>
      </c>
      <c r="D9" s="7"/>
      <c r="E9" s="14">
        <f>$S$3-$S$4</f>
        <v>-54768599.22</v>
      </c>
      <c r="H9" s="7"/>
      <c r="I9" s="13">
        <f>$S$5-$S$6</f>
        <v>-0.028155053151287</v>
      </c>
      <c r="L9" s="7"/>
      <c r="M9" s="13">
        <f>IFERROR($S$7/$S$8-1,0)</f>
        <v>-0.0458860759493671</v>
      </c>
      <c r="P9" s="7"/>
      <c r="R9" s="2" t="s">
        <v>20</v>
      </c>
      <c r="S9" s="8">
        <v>0.702082491326648</v>
      </c>
      <c r="T9" t="s">
        <v>20</v>
      </c>
    </row>
    <row r="10" ht="19.5" customHeight="1" spans="1:20">
      <c r="A10" s="5" t="s">
        <v>21</v>
      </c>
      <c r="D10" s="7"/>
      <c r="E10" s="5" t="s">
        <v>22</v>
      </c>
      <c r="H10" s="7"/>
      <c r="I10" s="5" t="s">
        <v>23</v>
      </c>
      <c r="L10" s="7"/>
      <c r="M10" s="5" t="s">
        <v>24</v>
      </c>
      <c r="P10" s="7"/>
      <c r="R10" s="2" t="s">
        <v>25</v>
      </c>
      <c r="S10" s="8">
        <v>0.689292521302922</v>
      </c>
      <c r="T10" t="s">
        <v>25</v>
      </c>
    </row>
    <row r="11" ht="25.5" customHeight="1" spans="1:20">
      <c r="A11" s="11">
        <f>$S$9</f>
        <v>0.702082491326648</v>
      </c>
      <c r="D11" s="7"/>
      <c r="E11" s="11">
        <f>$S$11</f>
        <v>0.181611664611965</v>
      </c>
      <c r="H11" s="7"/>
      <c r="I11" s="11">
        <f>$S$13</f>
        <v>0.119402985074627</v>
      </c>
      <c r="L11" s="7"/>
      <c r="M11" s="10">
        <f>$S$15</f>
        <v>2491385850.5</v>
      </c>
      <c r="P11" s="7"/>
      <c r="R11" s="2" t="s">
        <v>26</v>
      </c>
      <c r="S11" s="8">
        <v>0.181611664611965</v>
      </c>
      <c r="T11" t="s">
        <v>26</v>
      </c>
    </row>
    <row r="12" ht="25.5" customHeight="1" spans="1:20">
      <c r="D12" s="7"/>
      <c r="H12" s="7"/>
      <c r="L12" s="7"/>
      <c r="P12" s="7"/>
      <c r="R12" s="2" t="s">
        <v>27</v>
      </c>
      <c r="S12" s="8">
        <v>0.183461418987109</v>
      </c>
      <c r="T12" t="s">
        <v>27</v>
      </c>
    </row>
    <row r="13" ht="18.75" customHeight="1" spans="1:20">
      <c r="A13" s="13">
        <f>$S$9-$S$10</f>
        <v>0.0127899700237261</v>
      </c>
      <c r="D13" s="7"/>
      <c r="E13" s="13">
        <f>$S$11-$S$12</f>
        <v>-0.00184975437514398</v>
      </c>
      <c r="H13" s="7"/>
      <c r="I13" s="13">
        <f>$S$13-$S$14</f>
        <v>0.012599187606273</v>
      </c>
      <c r="L13" s="7"/>
      <c r="M13" s="13">
        <f>IFERROR($S$15/$S$1-1,0)</f>
        <v>1.58333333333333</v>
      </c>
      <c r="P13" s="7"/>
      <c r="R13" s="2" t="s">
        <v>28</v>
      </c>
      <c r="S13" s="8">
        <v>0.119402985074627</v>
      </c>
      <c r="T13" t="s">
        <v>28</v>
      </c>
    </row>
    <row r="14" ht="15" customHeight="1" spans="1:20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R14" s="2" t="s">
        <v>29</v>
      </c>
      <c r="S14" s="8">
        <v>0.106803797468354</v>
      </c>
      <c r="T14" t="s">
        <v>29</v>
      </c>
    </row>
    <row r="15" ht="21.75" customHeight="1" spans="1:20">
      <c r="A15" s="55" t="s">
        <v>30</v>
      </c>
      <c r="R15" s="2" t="s">
        <v>31</v>
      </c>
      <c r="S15" s="3">
        <v>2491385850.5</v>
      </c>
      <c r="T15" t="s">
        <v>31</v>
      </c>
    </row>
    <row r="16" ht="15" customHeight="1" spans="1:20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R16" s="2" t="s">
        <v>32</v>
      </c>
      <c r="S16" s="3">
        <v>375971274.659167</v>
      </c>
      <c r="T16" t="s">
        <v>32</v>
      </c>
    </row>
    <row r="17" ht="15" customHeight="1" spans="1:20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R17" s="2" t="s">
        <v>33</v>
      </c>
      <c r="S17" s="3">
        <v>1317444295.83</v>
      </c>
      <c r="T17" t="s">
        <v>33</v>
      </c>
    </row>
    <row r="18" ht="15" customHeight="1" spans="1:20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R18" s="2" t="s">
        <v>34</v>
      </c>
      <c r="S18" s="3">
        <v>287313857.7</v>
      </c>
      <c r="T18" t="s">
        <v>34</v>
      </c>
    </row>
    <row r="19" ht="15" customHeight="1" spans="1:20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R19" s="2" t="s">
        <v>35</v>
      </c>
      <c r="S19" s="3">
        <v>669835761</v>
      </c>
      <c r="T19" t="s">
        <v>35</v>
      </c>
    </row>
    <row r="20" ht="15" customHeight="1" spans="1: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R20" s="2" t="s">
        <v>36</v>
      </c>
      <c r="S20" s="3">
        <v>401462286</v>
      </c>
      <c r="T20" t="s">
        <v>37</v>
      </c>
    </row>
    <row r="21" ht="15" customHeight="1" spans="1:20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S21" s="56">
        <v>100832223.64</v>
      </c>
      <c r="T21" t="s">
        <v>36</v>
      </c>
    </row>
    <row r="22" ht="15" customHeight="1" spans="1:20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S22" s="56">
        <v>60504866.63</v>
      </c>
      <c r="T22" t="s">
        <v>38</v>
      </c>
    </row>
    <row r="23" ht="15" customHeight="1" spans="1:20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S23" s="56">
        <v>0.150532756700639</v>
      </c>
      <c r="T23" t="s">
        <v>39</v>
      </c>
    </row>
    <row r="24" ht="15" customHeight="1" spans="1:20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S24" s="56">
        <v>0.150711209346325</v>
      </c>
      <c r="T24" t="s">
        <v>40</v>
      </c>
    </row>
    <row r="25" ht="15" customHeight="1" spans="1:20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</row>
    <row r="26" ht="15" customHeight="1" spans="1:20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</row>
    <row r="27" ht="15" customHeight="1" spans="1:20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</row>
    <row r="28" ht="15" customHeight="1" spans="1:20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</row>
    <row r="29" ht="15" customHeight="1" spans="1:20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</row>
    <row r="30" ht="15" customHeight="1" spans="1:2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</row>
    <row r="31" ht="15" customHeight="1" spans="1:20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</row>
    <row r="32" ht="15" customHeight="1" spans="1:20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</row>
    <row r="33" ht="15" customHeight="1" spans="1:16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</row>
    <row r="34" ht="15" customHeight="1" spans="1:16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</row>
    <row r="35" ht="15" customHeight="1" spans="1:16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</row>
    <row r="36" ht="15" customHeight="1" spans="1:1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</row>
    <row r="37" ht="15" customHeight="1" spans="1:16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</row>
    <row r="38" ht="15" customHeight="1" spans="1:16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</row>
    <row r="39" ht="15" customHeight="1" spans="1:16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</row>
    <row r="40" ht="15" customHeight="1" spans="1:16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</row>
    <row r="41" ht="15" customHeight="1" spans="1:16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</row>
    <row r="42" ht="15" customHeight="1" spans="1:16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</row>
    <row r="43" ht="15" customHeight="1" spans="1:16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</row>
    <row r="44" ht="15" customHeight="1" spans="1:16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</row>
    <row r="45" ht="15" customHeight="1" spans="1:16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</row>
    <row r="46" ht="15" customHeight="1" spans="1:1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</row>
    <row r="47" ht="15" customHeight="1" spans="1:16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</row>
    <row r="48" ht="15" customHeight="1" spans="1:16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</row>
    <row r="49" ht="21.75" customHeight="1" spans="1:16">
      <c r="A49" s="55" t="s">
        <v>41</v>
      </c>
    </row>
    <row r="50" ht="30" customHeight="1" spans="1:16">
      <c r="A50" s="16" t="s">
        <v>42</v>
      </c>
      <c r="B50" s="16" t="s">
        <v>43</v>
      </c>
      <c r="C50" s="16" t="s">
        <v>44</v>
      </c>
      <c r="D50" s="16" t="s">
        <v>45</v>
      </c>
      <c r="E50" s="16" t="s">
        <v>46</v>
      </c>
      <c r="F50" s="16" t="s">
        <v>47</v>
      </c>
      <c r="G50" s="16" t="s">
        <v>48</v>
      </c>
      <c r="H50" s="16" t="s">
        <v>49</v>
      </c>
      <c r="I50" s="16" t="s">
        <v>50</v>
      </c>
      <c r="J50" s="16" t="s">
        <v>51</v>
      </c>
      <c r="K50" s="16" t="s">
        <v>52</v>
      </c>
      <c r="L50" s="16" t="s">
        <v>53</v>
      </c>
      <c r="M50" s="7"/>
      <c r="N50" s="7"/>
      <c r="O50" s="7"/>
      <c r="P50" s="7"/>
    </row>
    <row r="51" ht="18.75" customHeight="1" spans="1:16">
      <c r="A51" s="57" t="s">
        <v>4</v>
      </c>
      <c r="B51" s="19">
        <v>114446880</v>
      </c>
      <c r="C51" s="20">
        <f>IFERROR(B51/SUM($B$51:$B$55),0)</f>
        <v>0.118670674773506</v>
      </c>
      <c r="D51" s="19">
        <v>32188299.34</v>
      </c>
      <c r="E51" s="20">
        <v>0.281250999066117</v>
      </c>
      <c r="F51" s="19">
        <v>9</v>
      </c>
      <c r="G51" s="20">
        <v>0</v>
      </c>
      <c r="H51" s="20">
        <v>0.0169954829699158</v>
      </c>
      <c r="I51" s="20">
        <v>0.890195555103386</v>
      </c>
      <c r="J51" s="19">
        <v>109808880</v>
      </c>
      <c r="K51" s="19">
        <v>31375668.4</v>
      </c>
      <c r="L51" s="57" t="s">
        <v>54</v>
      </c>
      <c r="M51" s="7"/>
      <c r="N51" s="7"/>
      <c r="O51" s="7"/>
      <c r="P51" s="7"/>
    </row>
    <row r="52" ht="18.75" customHeight="1" spans="1:16">
      <c r="A52" s="57" t="s">
        <v>5</v>
      </c>
      <c r="B52" s="19">
        <v>116054912</v>
      </c>
      <c r="C52" s="20">
        <f>IFERROR(B52/SUM($B$51:$B$55),0)</f>
        <v>0.120338053058501</v>
      </c>
      <c r="D52" s="19">
        <v>54392782.51</v>
      </c>
      <c r="E52" s="20">
        <v>0.468681433406283</v>
      </c>
      <c r="F52" s="19">
        <v>5</v>
      </c>
      <c r="G52" s="20">
        <v>0</v>
      </c>
      <c r="H52" s="20">
        <v>0</v>
      </c>
      <c r="I52" s="20">
        <v>-0.682749992669115</v>
      </c>
      <c r="J52" s="19">
        <v>52136247</v>
      </c>
      <c r="K52" s="19">
        <v>29211457.75</v>
      </c>
      <c r="L52" s="57" t="s">
        <v>54</v>
      </c>
      <c r="M52" s="7"/>
      <c r="N52" s="7"/>
      <c r="O52" s="7"/>
      <c r="P52" s="7"/>
    </row>
    <row r="53" ht="18.75" customHeight="1" spans="1:16">
      <c r="A53" s="57" t="s">
        <v>55</v>
      </c>
      <c r="B53" s="19">
        <v>71328000</v>
      </c>
      <c r="C53" s="20">
        <f>IFERROR(B53/SUM($B$51:$B$55),0)</f>
        <v>0.0739604425235938</v>
      </c>
      <c r="D53" s="19">
        <v>-9163732.97</v>
      </c>
      <c r="E53" s="20">
        <v>-0.128473151777703</v>
      </c>
      <c r="F53" s="19">
        <v>169</v>
      </c>
      <c r="G53" s="20">
        <v>0.0118343195266272</v>
      </c>
      <c r="H53" s="20">
        <v>0.655839628196501</v>
      </c>
      <c r="I53" s="20">
        <v>-0.219785388477483</v>
      </c>
      <c r="J53" s="19">
        <v>49079000</v>
      </c>
      <c r="K53" s="19">
        <v>-8710549.33</v>
      </c>
      <c r="L53" s="57" t="s">
        <v>56</v>
      </c>
      <c r="M53" s="7"/>
      <c r="N53" s="7"/>
      <c r="O53" s="7"/>
      <c r="P53" s="7"/>
    </row>
    <row r="54" ht="18.75" customHeight="1" spans="1:16">
      <c r="A54" s="57" t="s">
        <v>7</v>
      </c>
      <c r="B54" s="19">
        <v>534034024</v>
      </c>
      <c r="C54" s="20">
        <f>IFERROR(B54/SUM($B$51:$B$55),0)</f>
        <v>0.55374316870928</v>
      </c>
      <c r="D54" s="19">
        <v>64877744.7</v>
      </c>
      <c r="E54" s="20">
        <v>0.121486163398458</v>
      </c>
      <c r="F54" s="19">
        <v>1717</v>
      </c>
      <c r="G54" s="20">
        <v>0.126965637740245</v>
      </c>
      <c r="H54" s="20">
        <v>0.175117746804837</v>
      </c>
      <c r="I54" s="20">
        <v>0.231274008889878</v>
      </c>
      <c r="J54" s="19">
        <v>374321024</v>
      </c>
      <c r="K54" s="19">
        <v>46253319.19</v>
      </c>
      <c r="L54" s="57" t="s">
        <v>54</v>
      </c>
      <c r="M54" s="7"/>
      <c r="N54" s="7"/>
      <c r="O54" s="7"/>
      <c r="P54" s="7"/>
    </row>
    <row r="55" ht="18.75" customHeight="1" spans="1:16">
      <c r="A55" s="57" t="s">
        <v>8</v>
      </c>
      <c r="B55" s="19">
        <v>128543610</v>
      </c>
      <c r="C55" s="20">
        <f>IFERROR(B55/SUM($B$51:$B$55),0)</f>
        <v>0.13328766093512</v>
      </c>
      <c r="D55" s="19">
        <v>3242174.03</v>
      </c>
      <c r="E55" s="20">
        <v>0.025222366401566</v>
      </c>
      <c r="F55" s="19">
        <v>512</v>
      </c>
      <c r="G55" s="20">
        <v>0.1328125</v>
      </c>
      <c r="H55" s="20">
        <v>0.255975337863936</v>
      </c>
      <c r="I55" s="20">
        <v>-0.230836809474551</v>
      </c>
      <c r="J55" s="19">
        <v>84490610</v>
      </c>
      <c r="K55" s="19">
        <v>2702327.63</v>
      </c>
      <c r="L55" s="57" t="s">
        <v>54</v>
      </c>
      <c r="M55" s="7"/>
      <c r="N55" s="7"/>
      <c r="O55" s="7"/>
      <c r="P55" s="7"/>
    </row>
    <row r="56" ht="15" customHeight="1" spans="1:1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</row>
    <row r="57" ht="15" customHeight="1" spans="1:16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</row>
    <row r="58" ht="21.75" customHeight="1" spans="1:16">
      <c r="A58" s="58" t="s">
        <v>57</v>
      </c>
    </row>
    <row r="59" ht="21" customHeight="1" spans="1:16">
      <c r="A59" s="59" t="s">
        <v>58</v>
      </c>
    </row>
    <row r="60" ht="21" customHeight="1" spans="1:16">
      <c r="A60" s="59" t="s">
        <v>59</v>
      </c>
    </row>
    <row r="61" ht="21" customHeight="1" spans="1:16">
      <c r="A61" s="59" t="s">
        <v>60</v>
      </c>
    </row>
    <row r="62" ht="21" customHeight="1" spans="1:16">
      <c r="A62" s="59" t="s">
        <v>61</v>
      </c>
    </row>
    <row r="63" ht="15" customHeight="1" spans="1:16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</row>
    <row r="64" ht="15" customHeight="1" spans="1:16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</row>
    <row r="65" ht="15" customHeight="1" spans="1:16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</row>
    <row r="66" ht="15" customHeight="1" spans="1:1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</row>
    <row r="67" ht="15" customHeight="1" spans="1:16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</row>
    <row r="68" ht="15" customHeight="1" spans="1:16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</row>
    <row r="69" ht="15" customHeight="1" spans="1:16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</row>
    <row r="70" ht="15" customHeight="1" spans="1:16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</row>
    <row r="71" ht="15" customHeight="1" spans="1:16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</row>
    <row r="72" ht="15" customHeight="1" spans="1:16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</row>
    <row r="73" ht="15" customHeight="1" spans="1:16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</row>
    <row r="74" ht="30" customHeight="1" spans="1:16">
      <c r="A74" s="16" t="s">
        <v>62</v>
      </c>
      <c r="B74" s="16" t="s">
        <v>63</v>
      </c>
      <c r="C74" s="16" t="s">
        <v>64</v>
      </c>
      <c r="D74" s="16" t="s">
        <v>65</v>
      </c>
      <c r="E74" s="16" t="s">
        <v>66</v>
      </c>
      <c r="F74" s="16" t="s">
        <v>47</v>
      </c>
      <c r="G74" s="7"/>
      <c r="H74" s="16" t="s">
        <v>67</v>
      </c>
      <c r="I74" s="16" t="s">
        <v>68</v>
      </c>
      <c r="J74" s="16" t="s">
        <v>69</v>
      </c>
      <c r="K74" s="7"/>
      <c r="L74" s="7"/>
      <c r="M74" s="7"/>
      <c r="N74" s="7"/>
      <c r="O74" s="7"/>
      <c r="P74" s="7"/>
    </row>
    <row r="75" ht="18.75" customHeight="1" spans="1:16">
      <c r="A75" s="40" t="s">
        <v>70</v>
      </c>
      <c r="B75" s="19">
        <v>57373150</v>
      </c>
      <c r="C75" s="19">
        <v>80380749</v>
      </c>
      <c r="D75" s="19">
        <v>4162281.57</v>
      </c>
      <c r="E75" s="19">
        <v>14490211.51</v>
      </c>
      <c r="F75" s="19">
        <v>186</v>
      </c>
      <c r="G75" s="7"/>
      <c r="H75" s="18" t="s">
        <v>71</v>
      </c>
      <c r="I75" s="19">
        <v>227416449</v>
      </c>
      <c r="J75" s="20">
        <v>0.235809516672054</v>
      </c>
      <c r="K75" s="7"/>
      <c r="L75" s="7"/>
      <c r="M75" s="7"/>
      <c r="N75" s="7"/>
      <c r="O75" s="7"/>
      <c r="P75" s="7"/>
    </row>
    <row r="76" ht="18.75" customHeight="1" spans="1:16">
      <c r="A76" s="40" t="s">
        <v>72</v>
      </c>
      <c r="B76" s="19">
        <v>109913515</v>
      </c>
      <c r="C76" s="19">
        <v>63735696</v>
      </c>
      <c r="D76" s="19">
        <v>30163879.21</v>
      </c>
      <c r="E76" s="19">
        <v>6996289.53</v>
      </c>
      <c r="F76" s="19">
        <v>161</v>
      </c>
      <c r="G76" s="7"/>
      <c r="H76" s="18" t="s">
        <v>73</v>
      </c>
      <c r="I76" s="19">
        <v>175147638</v>
      </c>
      <c r="J76" s="20">
        <v>0.181611664611965</v>
      </c>
      <c r="K76" s="7"/>
      <c r="L76" s="7"/>
      <c r="M76" s="7"/>
      <c r="N76" s="7"/>
      <c r="O76" s="7"/>
      <c r="P76" s="7"/>
    </row>
    <row r="77" ht="18.75" customHeight="1" spans="1:16">
      <c r="A77" s="40" t="s">
        <v>74</v>
      </c>
      <c r="B77" s="19">
        <v>44205000</v>
      </c>
      <c r="C77" s="19">
        <v>380076258</v>
      </c>
      <c r="D77" s="19">
        <v>3288899.09</v>
      </c>
      <c r="E77" s="19">
        <v>131712708.07</v>
      </c>
      <c r="F77" s="19">
        <v>145</v>
      </c>
      <c r="G77" s="7"/>
      <c r="H77" s="18" t="s">
        <v>75</v>
      </c>
      <c r="I77" s="19">
        <v>111155007.85</v>
      </c>
      <c r="J77" s="20">
        <v>0.115257312265864</v>
      </c>
      <c r="K77" s="7"/>
      <c r="L77" s="7"/>
      <c r="M77" s="7"/>
      <c r="N77" s="7"/>
      <c r="O77" s="7"/>
      <c r="P77" s="7"/>
    </row>
    <row r="78" ht="18.75" customHeight="1" spans="1:16">
      <c r="A78" s="40" t="s">
        <v>76</v>
      </c>
      <c r="B78" s="19">
        <v>37429000</v>
      </c>
      <c r="C78" s="19">
        <v>40173599</v>
      </c>
      <c r="D78" s="19">
        <v>1765095</v>
      </c>
      <c r="E78" s="19">
        <v>-481250.79</v>
      </c>
      <c r="F78" s="19">
        <v>136</v>
      </c>
      <c r="G78" s="7"/>
      <c r="H78" s="18" t="s">
        <v>77</v>
      </c>
      <c r="I78" s="19">
        <v>8718000</v>
      </c>
      <c r="J78" s="20">
        <v>0.00903974789592713</v>
      </c>
      <c r="K78" s="7"/>
      <c r="L78" s="7"/>
      <c r="M78" s="7"/>
      <c r="N78" s="7"/>
      <c r="O78" s="7"/>
      <c r="P78" s="7"/>
    </row>
    <row r="79" ht="18.75" customHeight="1" spans="1:16">
      <c r="A79" s="40" t="s">
        <v>78</v>
      </c>
      <c r="B79" s="19">
        <v>45651000</v>
      </c>
      <c r="C79" s="19">
        <v>89750758</v>
      </c>
      <c r="D79" s="19">
        <v>5324889.1</v>
      </c>
      <c r="E79" s="19">
        <v>22959229.15</v>
      </c>
      <c r="F79" s="19">
        <v>136</v>
      </c>
      <c r="G79" s="7"/>
      <c r="H79" s="18" t="s">
        <v>79</v>
      </c>
      <c r="I79" s="19">
        <v>6284817.84</v>
      </c>
      <c r="J79" s="20">
        <v>0.00651676632776156</v>
      </c>
      <c r="K79" s="7"/>
      <c r="L79" s="7"/>
      <c r="M79" s="7"/>
      <c r="N79" s="7"/>
      <c r="O79" s="7"/>
      <c r="P79" s="7"/>
    </row>
    <row r="80" ht="18.75" customHeight="1" spans="1:16">
      <c r="A80" s="40" t="s">
        <v>80</v>
      </c>
      <c r="B80" s="19">
        <v>129120167</v>
      </c>
      <c r="C80" s="19">
        <v>164307301</v>
      </c>
      <c r="D80" s="19">
        <v>45350040.71</v>
      </c>
      <c r="E80" s="19">
        <v>9728067.08</v>
      </c>
      <c r="F80" s="19">
        <v>128</v>
      </c>
      <c r="G80" s="7"/>
      <c r="H80" s="18" t="s">
        <v>81</v>
      </c>
      <c r="I80" s="19">
        <v>2722500</v>
      </c>
      <c r="J80" s="20">
        <v>0.00282297701842872</v>
      </c>
      <c r="K80" s="7"/>
      <c r="L80" s="7"/>
      <c r="M80" s="7"/>
      <c r="N80" s="7"/>
      <c r="O80" s="7"/>
      <c r="P80" s="7"/>
    </row>
    <row r="81" ht="18.75" customHeight="1" spans="1:16">
      <c r="A81" s="40" t="s">
        <v>82</v>
      </c>
      <c r="B81" s="19">
        <v>202276634</v>
      </c>
      <c r="C81" s="19">
        <v>48792754</v>
      </c>
      <c r="D81" s="19">
        <v>20186695.12</v>
      </c>
      <c r="E81" s="19">
        <v>-1881694.23</v>
      </c>
      <c r="F81" s="19">
        <v>674</v>
      </c>
      <c r="G81" s="7"/>
      <c r="H81" s="18" t="s">
        <v>83</v>
      </c>
      <c r="I81" s="19">
        <v>111888</v>
      </c>
      <c r="J81" s="20">
        <v>0.000116017356340846</v>
      </c>
      <c r="K81" s="7"/>
      <c r="L81" s="7"/>
      <c r="M81" s="7"/>
      <c r="N81" s="7"/>
      <c r="O81" s="7"/>
      <c r="P81" s="7"/>
    </row>
    <row r="82" ht="18.75" customHeight="1" spans="1:16">
      <c r="A82" s="40" t="s">
        <v>84</v>
      </c>
      <c r="B82" s="19">
        <v>117354960</v>
      </c>
      <c r="C82" s="19">
        <v>47452300</v>
      </c>
      <c r="D82" s="19">
        <v>23537202.97</v>
      </c>
      <c r="E82" s="19">
        <v>4018090.79</v>
      </c>
      <c r="F82" s="19">
        <v>211</v>
      </c>
      <c r="G82" s="7"/>
      <c r="H82" s="7"/>
      <c r="I82" s="7"/>
      <c r="J82" s="7"/>
      <c r="K82" s="7"/>
      <c r="L82" s="7"/>
      <c r="M82" s="7"/>
      <c r="N82" s="7"/>
      <c r="O82" s="7"/>
      <c r="P82" s="7"/>
    </row>
    <row r="83" ht="18.75" customHeight="1" spans="1:16">
      <c r="A83" s="40" t="s">
        <v>85</v>
      </c>
      <c r="B83" s="19">
        <v>62842000</v>
      </c>
      <c r="C83" s="19">
        <v>46769100</v>
      </c>
      <c r="D83" s="19">
        <v>7029292.12</v>
      </c>
      <c r="E83" s="19">
        <v>1437065.74</v>
      </c>
      <c r="F83" s="19">
        <v>167</v>
      </c>
      <c r="G83" s="7"/>
      <c r="H83" s="7"/>
      <c r="I83" s="7"/>
      <c r="J83" s="7"/>
      <c r="K83" s="7"/>
      <c r="L83" s="7"/>
      <c r="M83" s="7"/>
      <c r="N83" s="7"/>
      <c r="O83" s="7"/>
      <c r="P83" s="7"/>
    </row>
    <row r="84" ht="18.75" customHeight="1" spans="1:16">
      <c r="A84" s="40" t="s">
        <v>86</v>
      </c>
      <c r="B84" s="19">
        <v>64433000</v>
      </c>
      <c r="C84" s="19">
        <v>68815177</v>
      </c>
      <c r="D84" s="19">
        <v>4421474.36</v>
      </c>
      <c r="E84" s="19">
        <v>2387927.24</v>
      </c>
      <c r="F84" s="19">
        <v>186</v>
      </c>
      <c r="G84" s="7"/>
      <c r="H84" s="7"/>
      <c r="I84" s="7"/>
      <c r="J84" s="7"/>
      <c r="K84" s="7"/>
      <c r="L84" s="7"/>
      <c r="M84" s="7"/>
      <c r="N84" s="7"/>
      <c r="O84" s="7"/>
      <c r="P84" s="7"/>
    </row>
    <row r="85" ht="18.75" customHeight="1" spans="1:16">
      <c r="A85" s="40" t="s">
        <v>87</v>
      </c>
      <c r="B85" s="19">
        <v>40219000</v>
      </c>
      <c r="C85" s="19">
        <v>43884600</v>
      </c>
      <c r="D85" s="19">
        <v>-1727514.07</v>
      </c>
      <c r="E85" s="19">
        <v>4631593.28</v>
      </c>
      <c r="F85" s="19">
        <v>118</v>
      </c>
      <c r="G85" s="7"/>
      <c r="H85" s="7"/>
      <c r="I85" s="7"/>
      <c r="J85" s="7"/>
      <c r="K85" s="7"/>
      <c r="L85" s="7"/>
      <c r="M85" s="7"/>
      <c r="N85" s="7"/>
      <c r="O85" s="7"/>
      <c r="P85" s="7"/>
    </row>
    <row r="86" ht="18.75" customHeight="1" spans="1:16">
      <c r="A86" s="40" t="s">
        <v>88</v>
      </c>
      <c r="B86" s="19">
        <v>53590000</v>
      </c>
      <c r="C86" s="19">
        <v>44491800</v>
      </c>
      <c r="D86" s="19">
        <v>2035032.43</v>
      </c>
      <c r="E86" s="19">
        <v>4307629.46</v>
      </c>
      <c r="F86" s="19">
        <v>164</v>
      </c>
      <c r="G86" s="7"/>
      <c r="H86" s="7"/>
      <c r="I86" s="7"/>
      <c r="J86" s="7"/>
      <c r="K86" s="7"/>
      <c r="L86" s="7"/>
      <c r="M86" s="7"/>
      <c r="N86" s="7"/>
      <c r="O86" s="7"/>
      <c r="P86" s="7"/>
    </row>
    <row r="87" ht="18.75" hidden="1" customHeight="1" spans="1:16">
      <c r="A87" s="40"/>
      <c r="B87" s="42"/>
      <c r="C87" s="42"/>
      <c r="D87" s="42"/>
      <c r="E87" s="42"/>
      <c r="F87" s="42"/>
      <c r="G87" s="7"/>
      <c r="H87" s="7"/>
      <c r="I87" s="7"/>
      <c r="J87" s="7"/>
      <c r="K87" s="7"/>
      <c r="L87" s="7"/>
      <c r="M87" s="7"/>
      <c r="N87" s="7"/>
      <c r="O87" s="7"/>
      <c r="P87" s="7"/>
    </row>
    <row r="88" ht="18.75" hidden="1" customHeight="1" spans="1:16">
      <c r="A88" s="40"/>
      <c r="B88" s="42"/>
      <c r="C88" s="42"/>
      <c r="D88" s="42"/>
      <c r="E88" s="42"/>
      <c r="F88" s="42"/>
      <c r="G88" s="7"/>
      <c r="H88" s="7"/>
      <c r="I88" s="7"/>
      <c r="J88" s="7"/>
      <c r="K88" s="7"/>
      <c r="L88" s="7"/>
      <c r="M88" s="7"/>
      <c r="N88" s="7"/>
      <c r="O88" s="7"/>
      <c r="P88" s="7"/>
    </row>
    <row r="89" ht="18.75" hidden="1" customHeight="1" spans="1:16">
      <c r="A89" s="40"/>
      <c r="B89" s="42"/>
      <c r="C89" s="42"/>
      <c r="D89" s="42"/>
      <c r="E89" s="42"/>
      <c r="F89" s="42"/>
      <c r="G89" s="7"/>
      <c r="H89" s="7"/>
      <c r="I89" s="7"/>
      <c r="J89" s="7"/>
      <c r="K89" s="7"/>
      <c r="L89" s="7"/>
      <c r="M89" s="7"/>
      <c r="N89" s="7"/>
      <c r="O89" s="7"/>
      <c r="P89" s="7"/>
    </row>
    <row r="90" ht="18.75" hidden="1" customHeight="1" spans="1:16">
      <c r="A90" s="40"/>
      <c r="B90" s="42"/>
      <c r="C90" s="42"/>
      <c r="D90" s="42"/>
      <c r="E90" s="42"/>
      <c r="F90" s="42"/>
      <c r="G90" s="7"/>
      <c r="H90" s="7"/>
      <c r="I90" s="7"/>
      <c r="J90" s="7"/>
      <c r="K90" s="7"/>
      <c r="L90" s="7"/>
      <c r="M90" s="7"/>
      <c r="N90" s="7"/>
      <c r="O90" s="7"/>
      <c r="P90" s="7"/>
    </row>
    <row r="91" ht="18.75" hidden="1" customHeight="1" spans="1:16">
      <c r="A91" s="40"/>
      <c r="B91" s="42"/>
      <c r="C91" s="42"/>
      <c r="D91" s="42"/>
      <c r="E91" s="42"/>
      <c r="F91" s="42"/>
      <c r="G91" s="7"/>
      <c r="H91" s="7"/>
      <c r="I91" s="7"/>
      <c r="J91" s="7"/>
      <c r="K91" s="7"/>
      <c r="L91" s="7"/>
      <c r="M91" s="7"/>
      <c r="N91" s="7"/>
      <c r="O91" s="7"/>
      <c r="P91" s="7"/>
    </row>
    <row r="92" ht="18.75" hidden="1" customHeight="1" spans="1:16">
      <c r="A92" s="40"/>
      <c r="B92" s="42"/>
      <c r="C92" s="42"/>
      <c r="D92" s="42"/>
      <c r="E92" s="42"/>
      <c r="F92" s="42"/>
      <c r="G92" s="7"/>
      <c r="H92" s="7"/>
      <c r="I92" s="7"/>
      <c r="J92" s="7"/>
      <c r="K92" s="7"/>
      <c r="L92" s="7"/>
      <c r="M92" s="7"/>
      <c r="N92" s="7"/>
      <c r="O92" s="7"/>
      <c r="P92" s="7"/>
    </row>
    <row r="93" ht="18.75" hidden="1" customHeight="1" spans="1:16">
      <c r="A93" s="40"/>
      <c r="B93" s="42"/>
      <c r="C93" s="42"/>
      <c r="D93" s="42"/>
      <c r="E93" s="42"/>
      <c r="F93" s="42"/>
      <c r="G93" s="7"/>
      <c r="H93" s="7"/>
      <c r="I93" s="7"/>
      <c r="J93" s="7"/>
      <c r="K93" s="7"/>
      <c r="L93" s="7"/>
      <c r="M93" s="7"/>
      <c r="N93" s="7"/>
      <c r="O93" s="7"/>
      <c r="P93" s="7"/>
    </row>
    <row r="94" ht="18.75" hidden="1" customHeight="1" spans="1:16">
      <c r="A94" s="40"/>
      <c r="B94" s="42"/>
      <c r="C94" s="42"/>
      <c r="D94" s="42"/>
      <c r="E94" s="42"/>
      <c r="F94" s="42"/>
      <c r="G94" s="7"/>
      <c r="H94" s="7"/>
      <c r="I94" s="7"/>
      <c r="J94" s="7"/>
      <c r="K94" s="7"/>
      <c r="L94" s="7"/>
      <c r="M94" s="7"/>
      <c r="N94" s="7"/>
      <c r="O94" s="7"/>
      <c r="P94" s="7"/>
    </row>
    <row r="95" ht="18.75" hidden="1" customHeight="1" spans="1:16">
      <c r="A95" s="40"/>
      <c r="B95" s="42"/>
      <c r="C95" s="42"/>
      <c r="D95" s="42"/>
      <c r="E95" s="42"/>
      <c r="F95" s="42"/>
      <c r="G95" s="7"/>
      <c r="H95" s="7"/>
      <c r="I95" s="7"/>
      <c r="J95" s="7"/>
      <c r="K95" s="7"/>
      <c r="L95" s="7"/>
      <c r="M95" s="7"/>
      <c r="N95" s="7"/>
      <c r="O95" s="7"/>
      <c r="P95" s="7"/>
    </row>
    <row r="96" ht="18.75" hidden="1" customHeight="1" spans="1:16">
      <c r="A96" s="40"/>
      <c r="B96" s="42"/>
      <c r="C96" s="42"/>
      <c r="D96" s="42"/>
      <c r="E96" s="42"/>
      <c r="F96" s="42"/>
      <c r="G96" s="7"/>
      <c r="H96" s="7"/>
      <c r="I96" s="7"/>
      <c r="J96" s="7"/>
      <c r="K96" s="7"/>
      <c r="L96" s="7"/>
      <c r="M96" s="7"/>
      <c r="N96" s="7"/>
      <c r="O96" s="7"/>
      <c r="P96" s="7"/>
    </row>
    <row r="97" ht="18.75" hidden="1" customHeight="1" spans="1:16">
      <c r="A97" s="40"/>
      <c r="B97" s="42"/>
      <c r="C97" s="42"/>
      <c r="D97" s="42"/>
      <c r="E97" s="42"/>
      <c r="F97" s="42"/>
      <c r="G97" s="7"/>
      <c r="H97" s="7"/>
      <c r="I97" s="7"/>
      <c r="J97" s="7"/>
      <c r="K97" s="7"/>
      <c r="L97" s="7"/>
      <c r="M97" s="7"/>
      <c r="N97" s="7"/>
      <c r="O97" s="7"/>
      <c r="P97" s="7"/>
    </row>
    <row r="98" ht="18.75" hidden="1" customHeight="1" spans="1:16">
      <c r="A98" s="40"/>
      <c r="B98" s="42"/>
      <c r="C98" s="42"/>
      <c r="D98" s="42"/>
      <c r="E98" s="42"/>
      <c r="F98" s="42"/>
      <c r="G98" s="7"/>
      <c r="H98" s="7"/>
      <c r="I98" s="7"/>
      <c r="J98" s="7"/>
      <c r="K98" s="7"/>
      <c r="L98" s="7"/>
      <c r="M98" s="7"/>
      <c r="N98" s="7"/>
      <c r="O98" s="7"/>
      <c r="P98" s="7"/>
    </row>
    <row r="99" ht="18.75" hidden="1" customHeight="1" spans="1:16">
      <c r="A99" s="40"/>
      <c r="B99" s="42"/>
      <c r="C99" s="42"/>
      <c r="D99" s="42"/>
      <c r="E99" s="42"/>
      <c r="F99" s="42"/>
      <c r="G99" s="7"/>
      <c r="H99" s="7"/>
      <c r="I99" s="7"/>
      <c r="J99" s="7"/>
      <c r="K99" s="7"/>
      <c r="L99" s="7"/>
      <c r="M99" s="7"/>
      <c r="N99" s="7"/>
      <c r="O99" s="7"/>
      <c r="P99" s="7"/>
    </row>
    <row r="100" ht="18.75" hidden="1" customHeight="1" spans="1:16">
      <c r="A100" s="40"/>
      <c r="B100" s="42"/>
      <c r="C100" s="42"/>
      <c r="D100" s="42"/>
      <c r="E100" s="42"/>
      <c r="F100" s="42"/>
      <c r="G100" s="7"/>
      <c r="H100" s="7"/>
      <c r="I100" s="7"/>
      <c r="J100" s="7"/>
      <c r="K100" s="7"/>
      <c r="L100" s="7"/>
      <c r="M100" s="7"/>
      <c r="N100" s="7"/>
      <c r="O100" s="7"/>
      <c r="P100" s="7"/>
    </row>
    <row r="101" ht="18.75" hidden="1" customHeight="1" spans="1:16">
      <c r="A101" s="40"/>
      <c r="B101" s="42"/>
      <c r="C101" s="42"/>
      <c r="D101" s="42"/>
      <c r="E101" s="42"/>
      <c r="F101" s="42"/>
      <c r="G101" s="7"/>
      <c r="H101" s="7"/>
      <c r="I101" s="7"/>
      <c r="J101" s="7"/>
      <c r="K101" s="7"/>
      <c r="L101" s="7"/>
      <c r="M101" s="7"/>
      <c r="N101" s="7"/>
      <c r="O101" s="7"/>
      <c r="P101" s="7"/>
    </row>
    <row r="102" ht="18.75" hidden="1" customHeight="1" spans="1:16">
      <c r="A102" s="40"/>
      <c r="B102" s="42"/>
      <c r="C102" s="42"/>
      <c r="D102" s="42"/>
      <c r="E102" s="42"/>
      <c r="F102" s="42"/>
      <c r="G102" s="7"/>
      <c r="H102" s="7"/>
      <c r="I102" s="7"/>
      <c r="J102" s="7"/>
      <c r="K102" s="7"/>
      <c r="L102" s="7"/>
      <c r="M102" s="7"/>
      <c r="N102" s="7"/>
      <c r="O102" s="7"/>
      <c r="P102" s="7"/>
    </row>
    <row r="103" ht="15" customHeight="1" spans="1:16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</row>
    <row r="104" ht="15" customHeight="1" spans="1:16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</row>
    <row r="105" ht="15" customHeight="1" spans="1:16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</row>
    <row r="106" ht="21.75" customHeight="1" spans="1:16">
      <c r="A106" s="55" t="s">
        <v>89</v>
      </c>
    </row>
    <row r="107" ht="27.75" customHeight="1" spans="1:16">
      <c r="A107" s="16" t="s">
        <v>90</v>
      </c>
      <c r="B107" s="16" t="s">
        <v>91</v>
      </c>
      <c r="C107" s="16" t="s">
        <v>92</v>
      </c>
      <c r="D107" s="16"/>
      <c r="E107" s="16"/>
      <c r="F107" s="16"/>
      <c r="G107" s="16" t="s">
        <v>93</v>
      </c>
      <c r="H107" s="16" t="s">
        <v>94</v>
      </c>
      <c r="I107" s="16"/>
      <c r="J107" s="16" t="s">
        <v>44</v>
      </c>
      <c r="K107" s="16" t="s">
        <v>95</v>
      </c>
      <c r="L107" s="16" t="s">
        <v>96</v>
      </c>
      <c r="M107" s="16"/>
      <c r="N107" s="16"/>
      <c r="O107" s="16"/>
      <c r="P107" s="16"/>
    </row>
    <row r="108" ht="30.75" customHeight="1" spans="1:16">
      <c r="A108" s="44">
        <v>1</v>
      </c>
      <c r="B108" s="45" t="s">
        <v>97</v>
      </c>
      <c r="C108" s="18" t="s">
        <v>98</v>
      </c>
      <c r="G108" s="19">
        <v>137</v>
      </c>
      <c r="H108" s="19">
        <v>54949883.33</v>
      </c>
      <c r="J108" s="20">
        <v>0.0566854316171061</v>
      </c>
      <c r="K108" s="19">
        <v>11.4166666666667</v>
      </c>
      <c r="L108" s="18" t="s">
        <v>99</v>
      </c>
    </row>
    <row r="109" ht="30.75" customHeight="1" spans="1:16">
      <c r="A109" s="44">
        <v>2</v>
      </c>
      <c r="B109" s="45" t="s">
        <v>100</v>
      </c>
      <c r="C109" s="18" t="s">
        <v>101</v>
      </c>
      <c r="G109" s="19">
        <v>209</v>
      </c>
      <c r="H109" s="19">
        <v>51694533.34</v>
      </c>
      <c r="J109" s="20">
        <v>0.0533272639911678</v>
      </c>
      <c r="K109" s="19">
        <v>17.4166666666667</v>
      </c>
      <c r="L109" s="18" t="s">
        <v>99</v>
      </c>
    </row>
    <row r="110" ht="30.75" customHeight="1" spans="1:16">
      <c r="A110" s="44">
        <v>3</v>
      </c>
      <c r="B110" s="45" t="s">
        <v>102</v>
      </c>
      <c r="C110" s="18" t="s">
        <v>98</v>
      </c>
      <c r="G110" s="19">
        <v>112</v>
      </c>
      <c r="H110" s="19">
        <v>41360464.29</v>
      </c>
      <c r="J110" s="20">
        <v>0.0426668016032447</v>
      </c>
      <c r="K110" s="19">
        <v>9.33333333333333</v>
      </c>
      <c r="L110" s="18" t="s">
        <v>99</v>
      </c>
    </row>
    <row r="111" ht="30.75" customHeight="1" spans="1:16">
      <c r="A111" s="44">
        <v>4</v>
      </c>
      <c r="B111" s="45" t="s">
        <v>103</v>
      </c>
      <c r="C111" s="18" t="s">
        <v>104</v>
      </c>
      <c r="G111" s="19">
        <v>101</v>
      </c>
      <c r="H111" s="19">
        <v>38360714.29</v>
      </c>
      <c r="J111" s="20">
        <v>0.0395723068893573</v>
      </c>
      <c r="K111" s="19">
        <v>8.41666666666667</v>
      </c>
      <c r="L111" s="18" t="s">
        <v>99</v>
      </c>
    </row>
    <row r="112" ht="30.75" customHeight="1" spans="1:16">
      <c r="A112" s="44">
        <v>5</v>
      </c>
      <c r="B112" s="45" t="s">
        <v>105</v>
      </c>
      <c r="C112" s="18" t="s">
        <v>101</v>
      </c>
      <c r="G112" s="19">
        <v>227</v>
      </c>
      <c r="H112" s="19">
        <v>35266051</v>
      </c>
      <c r="J112" s="20">
        <v>0.0363799011248215</v>
      </c>
      <c r="K112" s="19">
        <v>18.9166666666667</v>
      </c>
      <c r="L112" s="18" t="s">
        <v>99</v>
      </c>
    </row>
    <row r="113" ht="30.75" customHeight="1" spans="1:16">
      <c r="A113" s="44">
        <v>6</v>
      </c>
      <c r="B113" s="45" t="s">
        <v>106</v>
      </c>
      <c r="C113" s="18" t="s">
        <v>98</v>
      </c>
      <c r="G113" s="19">
        <v>84</v>
      </c>
      <c r="H113" s="19">
        <v>32279050</v>
      </c>
      <c r="J113" s="20">
        <v>0.0332985580779421</v>
      </c>
      <c r="K113" s="19">
        <v>7</v>
      </c>
      <c r="L113" s="18" t="s">
        <v>107</v>
      </c>
    </row>
    <row r="114" ht="30.75" customHeight="1" spans="1:16">
      <c r="A114" s="44">
        <v>7</v>
      </c>
      <c r="B114" s="45" t="s">
        <v>108</v>
      </c>
      <c r="C114" s="18" t="s">
        <v>109</v>
      </c>
      <c r="G114" s="19">
        <v>201</v>
      </c>
      <c r="H114" s="19">
        <v>31178270</v>
      </c>
      <c r="J114" s="20">
        <v>0.0321630108186195</v>
      </c>
      <c r="K114" s="19">
        <v>16.75</v>
      </c>
      <c r="L114" s="18" t="s">
        <v>99</v>
      </c>
    </row>
    <row r="115" ht="30.75" customHeight="1" spans="1:16">
      <c r="A115" s="44">
        <v>8</v>
      </c>
      <c r="B115" s="45" t="s">
        <v>110</v>
      </c>
      <c r="C115" s="18" t="s">
        <v>101</v>
      </c>
      <c r="G115" s="19">
        <v>120</v>
      </c>
      <c r="H115" s="19">
        <v>26052241.67</v>
      </c>
      <c r="J115" s="20">
        <v>0.0268750809676579</v>
      </c>
      <c r="K115" s="19">
        <v>10</v>
      </c>
      <c r="L115" s="18" t="s">
        <v>107</v>
      </c>
    </row>
    <row r="116" ht="30.75" customHeight="1" spans="1:16">
      <c r="A116" s="44">
        <v>9</v>
      </c>
      <c r="B116" s="45" t="s">
        <v>111</v>
      </c>
      <c r="C116" s="18" t="s">
        <v>101</v>
      </c>
      <c r="G116" s="19">
        <v>107</v>
      </c>
      <c r="H116" s="19">
        <v>23751333.33</v>
      </c>
      <c r="J116" s="20">
        <v>0.0245015002708434</v>
      </c>
      <c r="K116" s="19">
        <v>8.91666666666667</v>
      </c>
      <c r="L116" s="18" t="s">
        <v>107</v>
      </c>
    </row>
    <row r="117" ht="30.75" customHeight="1" spans="1:16">
      <c r="A117" s="44">
        <v>10</v>
      </c>
      <c r="B117" s="45" t="s">
        <v>112</v>
      </c>
      <c r="C117" s="18" t="s">
        <v>101</v>
      </c>
      <c r="G117" s="19">
        <v>164</v>
      </c>
      <c r="H117" s="19">
        <v>23707776</v>
      </c>
      <c r="J117" s="20">
        <v>0.0244565672172769</v>
      </c>
      <c r="K117" s="19">
        <v>13.6666666666667</v>
      </c>
      <c r="L117" s="18" t="s">
        <v>99</v>
      </c>
    </row>
    <row r="118" ht="15" customHeight="1" spans="1:16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</row>
    <row r="119" ht="15" customHeight="1" spans="1:16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</row>
    <row r="120" ht="21.75" customHeight="1" spans="1:16">
      <c r="A120" s="58" t="s">
        <v>113</v>
      </c>
    </row>
    <row r="121" ht="15" customHeight="1" spans="1:16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</row>
    <row r="122" ht="15" customHeight="1" spans="1:16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</row>
    <row r="123" ht="15" customHeight="1" spans="1:16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</row>
    <row r="124" ht="15" customHeight="1" spans="1:16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</row>
    <row r="125" ht="15" customHeight="1" spans="1:16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</row>
    <row r="126" ht="15" customHeight="1" spans="1:1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</row>
    <row r="127" ht="15" customHeight="1" spans="1:16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</row>
    <row r="128" ht="15" customHeight="1" spans="1:16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</row>
    <row r="129" ht="15" customHeight="1" spans="1:16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</row>
    <row r="130" ht="15" customHeight="1" spans="1:16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</row>
    <row r="131" ht="15" customHeight="1" spans="1:16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</row>
    <row r="132" ht="15" customHeight="1" spans="1:16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</row>
    <row r="133" ht="15" customHeight="1" spans="1:16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</row>
    <row r="134" ht="15" customHeight="1" spans="1:16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</row>
    <row r="135" ht="15" customHeight="1" spans="1:16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</row>
    <row r="136" ht="15" customHeight="1" spans="1:1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</row>
  </sheetData>
  <mergeCells count="71">
    <mergeCell ref="A3:C3"/>
    <mergeCell ref="D3:F3"/>
    <mergeCell ref="G3:I3"/>
    <mergeCell ref="J3:L3"/>
    <mergeCell ref="M3:N3"/>
    <mergeCell ref="O3:P3"/>
    <mergeCell ref="A4:P4"/>
    <mergeCell ref="A6:C6"/>
    <mergeCell ref="E6:G6"/>
    <mergeCell ref="I6:K6"/>
    <mergeCell ref="M6:O6"/>
    <mergeCell ref="A9:C9"/>
    <mergeCell ref="E9:G9"/>
    <mergeCell ref="I9:K9"/>
    <mergeCell ref="M9:O9"/>
    <mergeCell ref="A10:C10"/>
    <mergeCell ref="E10:G10"/>
    <mergeCell ref="I10:K10"/>
    <mergeCell ref="M10:O10"/>
    <mergeCell ref="A13:C13"/>
    <mergeCell ref="E13:G13"/>
    <mergeCell ref="I13:K13"/>
    <mergeCell ref="M13:O13"/>
    <mergeCell ref="A15:P15"/>
    <mergeCell ref="A49:P49"/>
    <mergeCell ref="A58:P58"/>
    <mergeCell ref="A59:P59"/>
    <mergeCell ref="A60:P60"/>
    <mergeCell ref="A61:P61"/>
    <mergeCell ref="A62:P62"/>
    <mergeCell ref="A106:P106"/>
    <mergeCell ref="C108:F108"/>
    <mergeCell ref="H108:I108"/>
    <mergeCell ref="L108:P108"/>
    <mergeCell ref="C109:F109"/>
    <mergeCell ref="H109:I109"/>
    <mergeCell ref="L109:P109"/>
    <mergeCell ref="C110:F110"/>
    <mergeCell ref="H110:I110"/>
    <mergeCell ref="L110:P110"/>
    <mergeCell ref="C111:F111"/>
    <mergeCell ref="H111:I111"/>
    <mergeCell ref="L111:P111"/>
    <mergeCell ref="C112:F112"/>
    <mergeCell ref="H112:I112"/>
    <mergeCell ref="L112:P112"/>
    <mergeCell ref="C113:F113"/>
    <mergeCell ref="H113:I113"/>
    <mergeCell ref="L113:P113"/>
    <mergeCell ref="C114:F114"/>
    <mergeCell ref="H114:I114"/>
    <mergeCell ref="L114:P114"/>
    <mergeCell ref="C115:F115"/>
    <mergeCell ref="H115:I115"/>
    <mergeCell ref="L115:P115"/>
    <mergeCell ref="C116:F116"/>
    <mergeCell ref="H116:I116"/>
    <mergeCell ref="L116:P116"/>
    <mergeCell ref="C117:F117"/>
    <mergeCell ref="H117:I117"/>
    <mergeCell ref="L117:P117"/>
    <mergeCell ref="A120:P120"/>
    <mergeCell ref="A1:P2"/>
    <mergeCell ref="I11:K12"/>
    <mergeCell ref="A11:C12"/>
    <mergeCell ref="M11:O12"/>
    <mergeCell ref="A7:C8"/>
    <mergeCell ref="M7:O8"/>
    <mergeCell ref="I7:K8"/>
    <mergeCell ref="E11:G12"/>
    <mergeCell ref="E7:G8"/>
  </mergeCells>
  <conditionalFormatting sqref="L51:L55">
    <cfRule type="expression" dxfId="0" priority="2">
      <formula>L51="LỖ"</formula>
    </cfRule>
    <cfRule type="expression" dxfId="1" priority="3">
      <formula>L51="TỐT"</formula>
    </cfRule>
    <cfRule type="expression" dxfId="2" priority="4">
      <formula>L51="THEO DÕI"</formula>
    </cfRule>
  </conditionalFormatting>
  <pageMargins left="0.7" right="0.7" top="0.75" bottom="0.75" header="0.511811023622047" footer="0.511811023622047"/>
  <pageSetup paperSize="9" orientation="portrait" horizontalDpi="300" verticalDpi="3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38"/>
  <sheetViews>
    <sheetView showGridLines="0" workbookViewId="0">
      <selection activeCell="A123" sqref="$A123:$XFD123"/>
    </sheetView>
  </sheetViews>
  <sheetFormatPr defaultColWidth="8.67592592592593" defaultRowHeight="13.2"/>
  <cols>
    <col min="1" max="1" width="12" customWidth="1"/>
    <col min="2" max="4" width="14" customWidth="1"/>
    <col min="5" max="5" width="11" customWidth="1"/>
    <col min="6" max="10" width="14" customWidth="1"/>
    <col min="11" max="13" width="12" customWidth="1"/>
    <col min="14" max="16" width="14" customWidth="1"/>
    <col min="17" max="17" width="11" customWidth="1"/>
    <col min="18" max="19" width="2.5" customWidth="1"/>
  </cols>
  <sheetData>
    <row r="1" ht="30" customHeight="1" spans="1:20">
      <c r="A1" s="1" t="s">
        <v>114</v>
      </c>
      <c r="R1" s="2" t="s">
        <v>1</v>
      </c>
      <c r="S1" s="3">
        <v>114446880</v>
      </c>
      <c r="T1" t="s">
        <v>1</v>
      </c>
    </row>
    <row r="2" ht="30" customHeight="1" spans="1:20">
      <c r="R2" s="2" t="s">
        <v>2</v>
      </c>
      <c r="S2" s="3">
        <v>60547640</v>
      </c>
      <c r="T2" t="s">
        <v>2</v>
      </c>
    </row>
    <row r="3" ht="21.75" customHeight="1" spans="1:20">
      <c r="A3" s="4" t="s">
        <v>3</v>
      </c>
      <c r="D3" s="5" t="s">
        <v>4</v>
      </c>
      <c r="G3" s="4" t="s">
        <v>5</v>
      </c>
      <c r="J3" s="4" t="s">
        <v>6</v>
      </c>
      <c r="M3" s="4" t="s">
        <v>7</v>
      </c>
      <c r="O3" s="4" t="s">
        <v>8</v>
      </c>
      <c r="R3" s="2" t="s">
        <v>9</v>
      </c>
      <c r="S3" s="3">
        <v>32188299.34</v>
      </c>
      <c r="T3" t="s">
        <v>9</v>
      </c>
    </row>
    <row r="4" ht="19.5" customHeight="1" spans="1:20">
      <c r="A4" s="6" t="s">
        <v>115</v>
      </c>
      <c r="R4" s="2" t="s">
        <v>11</v>
      </c>
      <c r="S4" s="3">
        <v>20152591.62</v>
      </c>
      <c r="T4" t="s">
        <v>11</v>
      </c>
    </row>
    <row r="5" ht="15" customHeight="1" spans="1:20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R5" s="2" t="s">
        <v>12</v>
      </c>
      <c r="S5" s="8">
        <v>0.281250999066117</v>
      </c>
      <c r="T5" t="s">
        <v>12</v>
      </c>
    </row>
    <row r="6" ht="19.5" customHeight="1" spans="1:20">
      <c r="A6" s="53" t="s">
        <v>13</v>
      </c>
      <c r="D6" s="7"/>
      <c r="E6" s="53" t="s">
        <v>14</v>
      </c>
      <c r="H6" s="7"/>
      <c r="I6" s="53" t="s">
        <v>15</v>
      </c>
      <c r="L6" s="7"/>
      <c r="M6" s="53" t="s">
        <v>16</v>
      </c>
      <c r="P6" s="7"/>
      <c r="R6" s="2" t="s">
        <v>17</v>
      </c>
      <c r="S6" s="8">
        <v>0.332838598168318</v>
      </c>
      <c r="T6" t="s">
        <v>17</v>
      </c>
    </row>
    <row r="7" ht="25.5" customHeight="1" spans="1:20">
      <c r="A7" s="10">
        <f>$S$1</f>
        <v>114446880</v>
      </c>
      <c r="D7" s="7"/>
      <c r="E7" s="10">
        <f>$S$3</f>
        <v>32188299.34</v>
      </c>
      <c r="H7" s="7"/>
      <c r="I7" s="11">
        <f>$S$5</f>
        <v>0.281250999066117</v>
      </c>
      <c r="L7" s="7"/>
      <c r="M7" s="12">
        <f>$S$7</f>
        <v>9</v>
      </c>
      <c r="P7" s="7"/>
      <c r="R7" s="2" t="s">
        <v>18</v>
      </c>
      <c r="S7" s="3">
        <v>9</v>
      </c>
      <c r="T7" t="s">
        <v>18</v>
      </c>
    </row>
    <row r="8" ht="25.5" customHeight="1" spans="1:20">
      <c r="D8" s="7"/>
      <c r="H8" s="7"/>
      <c r="L8" s="7"/>
      <c r="P8" s="7"/>
      <c r="R8" s="2" t="s">
        <v>19</v>
      </c>
      <c r="S8" s="3">
        <v>6</v>
      </c>
      <c r="T8" t="s">
        <v>19</v>
      </c>
    </row>
    <row r="9" ht="18.75" customHeight="1" spans="1:20">
      <c r="A9" s="13">
        <f>IFERROR($S$1/$S$2-1,0)</f>
        <v>0.890195555103386</v>
      </c>
      <c r="D9" s="7"/>
      <c r="E9" s="14">
        <f>$S$3-$S$4</f>
        <v>12035707.72</v>
      </c>
      <c r="H9" s="7"/>
      <c r="I9" s="13">
        <f>$S$5-$S$6</f>
        <v>-0.051587599102201</v>
      </c>
      <c r="L9" s="7"/>
      <c r="M9" s="13">
        <f>IFERROR($S$7/$S$8-1,0)</f>
        <v>0.5</v>
      </c>
      <c r="P9" s="7"/>
      <c r="R9" s="2" t="s">
        <v>20</v>
      </c>
      <c r="S9" s="8">
        <v>0.468246482036033</v>
      </c>
      <c r="T9" t="s">
        <v>20</v>
      </c>
    </row>
    <row r="10" ht="19.5" customHeight="1" spans="1:20">
      <c r="A10" s="53" t="s">
        <v>21</v>
      </c>
      <c r="D10" s="7"/>
      <c r="E10" s="53" t="s">
        <v>22</v>
      </c>
      <c r="H10" s="7"/>
      <c r="I10" s="53" t="s">
        <v>23</v>
      </c>
      <c r="L10" s="7"/>
      <c r="M10" s="53" t="s">
        <v>24</v>
      </c>
      <c r="P10" s="7"/>
      <c r="R10" s="2" t="s">
        <v>25</v>
      </c>
      <c r="S10" s="8">
        <v>0.535040728589917</v>
      </c>
      <c r="T10" t="s">
        <v>25</v>
      </c>
    </row>
    <row r="11" ht="25.5" customHeight="1" spans="1:20">
      <c r="A11" s="11">
        <f>$S$9</f>
        <v>0.468246482036033</v>
      </c>
      <c r="D11" s="7"/>
      <c r="E11" s="11">
        <f>$S$11</f>
        <v>0.0169954829699158</v>
      </c>
      <c r="H11" s="7"/>
      <c r="I11" s="11">
        <f>$S$13</f>
        <v>0</v>
      </c>
      <c r="L11" s="7"/>
      <c r="M11" s="10">
        <f>$S$15</f>
        <v>295654440</v>
      </c>
      <c r="P11" s="7"/>
      <c r="R11" s="2" t="s">
        <v>26</v>
      </c>
      <c r="S11" s="8">
        <v>0.0169954829699158</v>
      </c>
      <c r="T11" t="s">
        <v>26</v>
      </c>
    </row>
    <row r="12" ht="25.5" customHeight="1" spans="1:20">
      <c r="D12" s="7"/>
      <c r="H12" s="7"/>
      <c r="L12" s="7"/>
      <c r="P12" s="7"/>
      <c r="R12" s="2" t="s">
        <v>27</v>
      </c>
      <c r="S12" s="8">
        <v>0.0322021304215986</v>
      </c>
      <c r="T12" t="s">
        <v>27</v>
      </c>
    </row>
    <row r="13" ht="18.75" customHeight="1" spans="1:20">
      <c r="A13" s="13">
        <f>$S$9-$S$10</f>
        <v>-0.0667942465538841</v>
      </c>
      <c r="D13" s="7"/>
      <c r="E13" s="13">
        <f>$S$11-$S$12</f>
        <v>-0.0152066474516828</v>
      </c>
      <c r="H13" s="7"/>
      <c r="I13" s="13">
        <f>$S$13-$S$14</f>
        <v>0</v>
      </c>
      <c r="L13" s="7"/>
      <c r="M13" s="13">
        <f>IFERROR($S$15/$S$1-1,0)</f>
        <v>1.58333333333333</v>
      </c>
      <c r="P13" s="7"/>
      <c r="R13" s="2" t="s">
        <v>28</v>
      </c>
      <c r="S13" s="8">
        <v>0</v>
      </c>
      <c r="T13" t="s">
        <v>28</v>
      </c>
    </row>
    <row r="14" ht="15" customHeight="1" spans="1:20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R14" s="2" t="s">
        <v>29</v>
      </c>
      <c r="S14" s="8">
        <v>0</v>
      </c>
      <c r="T14" t="s">
        <v>29</v>
      </c>
    </row>
    <row r="15" ht="21.75" customHeight="1" spans="1:20">
      <c r="A15" s="54" t="s">
        <v>116</v>
      </c>
      <c r="R15" s="2" t="s">
        <v>31</v>
      </c>
      <c r="S15" s="3">
        <v>295654440</v>
      </c>
      <c r="T15" t="s">
        <v>31</v>
      </c>
    </row>
    <row r="16" ht="15" customHeight="1" spans="1:20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R16" s="2" t="s">
        <v>32</v>
      </c>
      <c r="S16" s="3">
        <v>83153106.6283333</v>
      </c>
      <c r="T16" t="s">
        <v>32</v>
      </c>
    </row>
    <row r="17" ht="15" customHeight="1" spans="1:20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R17" s="2" t="s">
        <v>33</v>
      </c>
      <c r="S17" s="3">
        <v>150516667.76</v>
      </c>
      <c r="T17" t="s">
        <v>33</v>
      </c>
    </row>
    <row r="18" ht="15" customHeight="1" spans="1:20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R18" s="2" t="s">
        <v>34</v>
      </c>
      <c r="S18" s="3">
        <v>60857531.06</v>
      </c>
      <c r="T18" t="s">
        <v>34</v>
      </c>
    </row>
    <row r="19" ht="15" customHeight="1" spans="1:20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R19" s="2" t="s">
        <v>35</v>
      </c>
      <c r="S19" s="3">
        <v>109808880</v>
      </c>
      <c r="T19" t="s">
        <v>35</v>
      </c>
    </row>
    <row r="20" ht="15" customHeight="1" spans="1: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R20" s="2" t="s">
        <v>37</v>
      </c>
      <c r="S20" s="3">
        <v>21754000</v>
      </c>
      <c r="T20" t="s">
        <v>37</v>
      </c>
    </row>
    <row r="21" ht="15" customHeight="1" spans="1:20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R21" s="2" t="s">
        <v>36</v>
      </c>
      <c r="S21" s="3">
        <v>31375668.4</v>
      </c>
      <c r="T21" t="s">
        <v>36</v>
      </c>
    </row>
    <row r="22" ht="15" customHeight="1" spans="1:20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R22" s="2" t="s">
        <v>38</v>
      </c>
      <c r="S22" s="3">
        <v>6305207.24</v>
      </c>
      <c r="T22" t="s">
        <v>38</v>
      </c>
    </row>
    <row r="23" ht="15" customHeight="1" spans="1:20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R23" s="2" t="s">
        <v>39</v>
      </c>
      <c r="S23" s="8">
        <v>0.285729791616124</v>
      </c>
      <c r="T23" t="s">
        <v>39</v>
      </c>
    </row>
    <row r="24" ht="15" customHeight="1" spans="1:20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R24" s="2" t="s">
        <v>40</v>
      </c>
      <c r="S24" s="8">
        <v>0.289841281603383</v>
      </c>
      <c r="T24" t="s">
        <v>40</v>
      </c>
    </row>
    <row r="25" ht="15" customHeight="1" spans="1:20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</row>
    <row r="26" ht="15" customHeight="1" spans="1:20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</row>
    <row r="27" ht="15" customHeight="1" spans="1:20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</row>
    <row r="28" ht="15" customHeight="1" spans="1:20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</row>
    <row r="29" ht="15" customHeight="1" spans="1:20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</row>
    <row r="30" ht="15" customHeight="1" spans="1:2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R30" s="2" t="s">
        <v>117</v>
      </c>
      <c r="S30" s="2" t="s">
        <v>118</v>
      </c>
      <c r="T30" s="2" t="s">
        <v>119</v>
      </c>
    </row>
    <row r="31" ht="15" customHeight="1" spans="1:20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R31" s="2" t="s">
        <v>75</v>
      </c>
      <c r="S31" s="3">
        <v>17167032</v>
      </c>
      <c r="T31" s="3">
        <v>0.15</v>
      </c>
    </row>
    <row r="32" ht="15" customHeight="1" spans="1:20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R32" s="2" t="s">
        <v>79</v>
      </c>
      <c r="S32" s="3">
        <v>2288937.6</v>
      </c>
      <c r="T32" s="3">
        <v>0.02</v>
      </c>
    </row>
    <row r="33" ht="15" customHeight="1" spans="1:20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R33" s="2" t="s">
        <v>73</v>
      </c>
      <c r="S33" s="3">
        <v>1945080</v>
      </c>
      <c r="T33" s="3">
        <v>0.0169954829699158</v>
      </c>
    </row>
    <row r="34" ht="15" customHeight="1" spans="1:20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R34" s="2" t="s">
        <v>71</v>
      </c>
      <c r="S34" s="3">
        <v>0</v>
      </c>
      <c r="T34" s="3">
        <v>0</v>
      </c>
    </row>
    <row r="35" ht="15" customHeight="1" spans="1:20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R35" s="2" t="s">
        <v>81</v>
      </c>
      <c r="S35" s="3">
        <v>0</v>
      </c>
      <c r="T35" s="3">
        <v>0</v>
      </c>
    </row>
    <row r="36" ht="15" customHeight="1" spans="1:20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R36" s="2" t="s">
        <v>83</v>
      </c>
      <c r="S36" s="3">
        <v>0</v>
      </c>
      <c r="T36" s="3">
        <v>0</v>
      </c>
    </row>
    <row r="37" ht="15" customHeight="1" spans="1:20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R37" s="2" t="s">
        <v>77</v>
      </c>
      <c r="S37" s="3">
        <v>0</v>
      </c>
      <c r="T37" s="3">
        <v>0</v>
      </c>
    </row>
    <row r="38" ht="15" customHeight="1" spans="1:20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</row>
    <row r="39" ht="15" customHeight="1" spans="1:20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</row>
    <row r="40" ht="15" customHeight="1" spans="1:2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</row>
    <row r="41" ht="15" customHeight="1" spans="1:20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</row>
    <row r="42" ht="15" customHeight="1" spans="1:20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</row>
    <row r="43" ht="15" customHeight="1" spans="1:20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</row>
    <row r="44" ht="15" customHeight="1" spans="1:20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</row>
    <row r="45" ht="15" customHeight="1" spans="1:20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</row>
    <row r="46" ht="15" customHeight="1" spans="1:20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</row>
    <row r="47" ht="15" customHeight="1" spans="1:20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</row>
    <row r="48" ht="15" customHeight="1" spans="1:20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</row>
    <row r="49" ht="15" customHeight="1" spans="1:16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</row>
    <row r="50" ht="21.75" customHeight="1" spans="1:16">
      <c r="A50" s="54" t="s">
        <v>120</v>
      </c>
    </row>
    <row r="51" ht="24" customHeight="1" spans="1:16">
      <c r="A51" s="16" t="s">
        <v>121</v>
      </c>
      <c r="B51" s="16" t="s">
        <v>122</v>
      </c>
      <c r="C51" s="16" t="s">
        <v>69</v>
      </c>
      <c r="D51" s="16" t="s">
        <v>123</v>
      </c>
      <c r="E51" s="16" t="s">
        <v>69</v>
      </c>
      <c r="F51" s="16" t="s">
        <v>124</v>
      </c>
      <c r="G51" s="16" t="s">
        <v>125</v>
      </c>
      <c r="H51" s="7"/>
      <c r="I51" s="17" t="s">
        <v>126</v>
      </c>
    </row>
    <row r="52" ht="22.5" customHeight="1" spans="1:16">
      <c r="A52" s="18" t="s">
        <v>127</v>
      </c>
      <c r="B52" s="19">
        <v>150516667.76</v>
      </c>
      <c r="C52" s="20">
        <f t="shared" ref="C52:C62" si="0">IFERROR(B52/$B$53,0)</f>
        <v>1.31516619553106</v>
      </c>
      <c r="D52" s="19">
        <v>146222223.34</v>
      </c>
      <c r="E52" s="20">
        <f t="shared" ref="E52:E62" si="1">IFERROR(D52/$D$53,0)</f>
        <v>1.33160654529943</v>
      </c>
      <c r="F52" s="20">
        <v>0.699970734466601</v>
      </c>
      <c r="G52" s="20">
        <v>6.25935462544438</v>
      </c>
      <c r="H52" s="7"/>
      <c r="I52" s="21" t="s">
        <v>128</v>
      </c>
    </row>
    <row r="53" ht="22.5" customHeight="1" spans="1:16">
      <c r="A53" s="18" t="s">
        <v>94</v>
      </c>
      <c r="B53" s="19">
        <v>114446880</v>
      </c>
      <c r="C53" s="20">
        <f t="shared" si="0"/>
        <v>1</v>
      </c>
      <c r="D53" s="19">
        <v>109808880</v>
      </c>
      <c r="E53" s="20">
        <f t="shared" si="1"/>
        <v>1</v>
      </c>
      <c r="F53" s="20">
        <v>0.890195555103386</v>
      </c>
      <c r="G53" s="20">
        <v>4.04775581502253</v>
      </c>
      <c r="H53" s="7"/>
      <c r="I53" s="21" t="s">
        <v>129</v>
      </c>
    </row>
    <row r="54" ht="22.5" customHeight="1" spans="1:16">
      <c r="A54" s="18" t="s">
        <v>130</v>
      </c>
      <c r="B54" s="19">
        <v>-60857531.06</v>
      </c>
      <c r="C54" s="20">
        <f t="shared" si="0"/>
        <v>-0.531753517963967</v>
      </c>
      <c r="D54" s="19">
        <v>-58480568</v>
      </c>
      <c r="E54" s="20">
        <f t="shared" si="1"/>
        <v>-0.532566837946075</v>
      </c>
      <c r="F54" s="20">
        <v>0</v>
      </c>
      <c r="G54" s="20">
        <v>0</v>
      </c>
      <c r="H54" s="7"/>
      <c r="I54" s="21" t="s">
        <v>131</v>
      </c>
    </row>
    <row r="55" ht="22.5" customHeight="1" spans="1:16">
      <c r="A55" s="18" t="s">
        <v>132</v>
      </c>
      <c r="B55" s="19">
        <v>53589348.94</v>
      </c>
      <c r="C55" s="20">
        <f t="shared" si="0"/>
        <v>0.468246482036033</v>
      </c>
      <c r="D55" s="19">
        <v>51328312</v>
      </c>
      <c r="E55" s="20">
        <f t="shared" si="1"/>
        <v>0.467433162053925</v>
      </c>
      <c r="F55" s="20">
        <v>0</v>
      </c>
      <c r="G55" s="20">
        <v>0</v>
      </c>
      <c r="H55" s="7"/>
      <c r="I55" s="21" t="s">
        <v>133</v>
      </c>
    </row>
    <row r="56" ht="22.5" customHeight="1" spans="1:16">
      <c r="A56" s="18" t="s">
        <v>134</v>
      </c>
      <c r="B56" s="19">
        <v>0</v>
      </c>
      <c r="C56" s="20">
        <f t="shared" si="0"/>
        <v>0</v>
      </c>
      <c r="D56" s="19">
        <v>0</v>
      </c>
      <c r="E56" s="20">
        <f t="shared" si="1"/>
        <v>0</v>
      </c>
      <c r="F56" s="20">
        <v>0</v>
      </c>
      <c r="G56" s="20">
        <v>0</v>
      </c>
      <c r="H56" s="7"/>
      <c r="I56" s="21" t="s">
        <v>135</v>
      </c>
    </row>
    <row r="57" ht="21" customHeight="1" spans="1:16">
      <c r="A57" s="18" t="s">
        <v>136</v>
      </c>
      <c r="B57" s="19">
        <v>-2288937.6</v>
      </c>
      <c r="C57" s="20">
        <f t="shared" si="0"/>
        <v>-0.02</v>
      </c>
      <c r="D57" s="19">
        <v>-2196177.6</v>
      </c>
      <c r="E57" s="20">
        <f t="shared" si="1"/>
        <v>-0.02</v>
      </c>
      <c r="F57" s="20">
        <v>0</v>
      </c>
      <c r="G57" s="20">
        <v>0</v>
      </c>
      <c r="H57" s="7"/>
      <c r="I57" s="22" t="s">
        <v>137</v>
      </c>
      <c r="J57" s="23"/>
      <c r="K57" s="23"/>
      <c r="L57" s="23"/>
      <c r="M57" s="23"/>
      <c r="N57" s="23"/>
      <c r="O57" s="23"/>
      <c r="P57" s="24"/>
    </row>
    <row r="58" ht="18.75" customHeight="1" spans="1:16">
      <c r="A58" s="18" t="s">
        <v>138</v>
      </c>
      <c r="B58" s="19">
        <v>-17167032</v>
      </c>
      <c r="C58" s="20">
        <f t="shared" si="0"/>
        <v>-0.15</v>
      </c>
      <c r="D58" s="19">
        <v>-16471332</v>
      </c>
      <c r="E58" s="20">
        <f t="shared" si="1"/>
        <v>-0.15</v>
      </c>
      <c r="F58" s="20">
        <v>0</v>
      </c>
      <c r="G58" s="20">
        <v>0</v>
      </c>
      <c r="H58" s="7"/>
      <c r="I58" s="25" t="s">
        <v>67</v>
      </c>
      <c r="J58" s="24"/>
      <c r="K58" s="26" t="s">
        <v>68</v>
      </c>
      <c r="L58" s="24"/>
      <c r="M58" s="27" t="s">
        <v>139</v>
      </c>
      <c r="N58" s="24"/>
      <c r="O58" s="25" t="s">
        <v>140</v>
      </c>
      <c r="P58" s="24"/>
    </row>
    <row r="59" ht="18.75" customHeight="1" spans="1:16">
      <c r="A59" s="18" t="s">
        <v>141</v>
      </c>
      <c r="B59" s="19">
        <v>-1945080</v>
      </c>
      <c r="C59" s="20">
        <f t="shared" si="0"/>
        <v>-0.0169954829699158</v>
      </c>
      <c r="D59" s="19">
        <v>-1285134</v>
      </c>
      <c r="E59" s="20">
        <f t="shared" si="1"/>
        <v>-0.0117033704378007</v>
      </c>
      <c r="F59" s="20">
        <v>0</v>
      </c>
      <c r="G59" s="20">
        <v>0</v>
      </c>
      <c r="H59" s="7"/>
      <c r="I59" s="28" t="s">
        <v>138</v>
      </c>
      <c r="J59" s="24"/>
      <c r="K59" s="29">
        <v>17167032</v>
      </c>
      <c r="L59" s="24"/>
      <c r="M59" s="30">
        <v>0.15</v>
      </c>
      <c r="N59" s="24"/>
      <c r="O59" s="28" t="s">
        <v>142</v>
      </c>
      <c r="P59" s="24"/>
    </row>
    <row r="60" ht="18.75" customHeight="1" spans="1:16">
      <c r="A60" s="18" t="s">
        <v>143</v>
      </c>
      <c r="B60" s="19">
        <v>0</v>
      </c>
      <c r="C60" s="20">
        <f t="shared" si="0"/>
        <v>0</v>
      </c>
      <c r="D60" s="19">
        <v>0</v>
      </c>
      <c r="E60" s="20">
        <f t="shared" si="1"/>
        <v>0</v>
      </c>
      <c r="F60" s="20">
        <v>0</v>
      </c>
      <c r="G60" s="20">
        <v>0</v>
      </c>
      <c r="H60" s="7"/>
      <c r="I60" s="28" t="s">
        <v>136</v>
      </c>
      <c r="J60" s="24"/>
      <c r="K60" s="29">
        <v>2288937.6</v>
      </c>
      <c r="L60" s="24"/>
      <c r="M60" s="30">
        <v>0.02</v>
      </c>
      <c r="N60" s="24"/>
      <c r="O60" s="28" t="s">
        <v>144</v>
      </c>
      <c r="P60" s="24"/>
    </row>
    <row r="61" ht="18.75" customHeight="1" spans="1:16">
      <c r="A61" s="18" t="s">
        <v>145</v>
      </c>
      <c r="B61" s="19">
        <v>0</v>
      </c>
      <c r="C61" s="20">
        <f t="shared" si="0"/>
        <v>0</v>
      </c>
      <c r="D61" s="19">
        <v>0</v>
      </c>
      <c r="E61" s="20">
        <f t="shared" si="1"/>
        <v>0</v>
      </c>
      <c r="F61" s="20">
        <v>0</v>
      </c>
      <c r="G61" s="20">
        <v>0</v>
      </c>
      <c r="H61" s="7"/>
      <c r="I61" s="28" t="s">
        <v>141</v>
      </c>
      <c r="J61" s="24"/>
      <c r="K61" s="29">
        <v>1945080</v>
      </c>
      <c r="L61" s="24"/>
      <c r="M61" s="30">
        <v>0.0169954829699158</v>
      </c>
      <c r="N61" s="24"/>
      <c r="O61" s="28" t="s">
        <v>144</v>
      </c>
      <c r="P61" s="24"/>
    </row>
    <row r="62" ht="18.75" customHeight="1" spans="1:16">
      <c r="A62" s="31" t="s">
        <v>45</v>
      </c>
      <c r="B62" s="32">
        <v>32188299.34</v>
      </c>
      <c r="C62" s="33">
        <f t="shared" si="0"/>
        <v>0.281250999066117</v>
      </c>
      <c r="D62" s="32">
        <v>31375668.4</v>
      </c>
      <c r="E62" s="33">
        <f t="shared" si="1"/>
        <v>0.285729791616124</v>
      </c>
      <c r="F62" s="33">
        <v>0.597228780642556</v>
      </c>
      <c r="G62" s="33">
        <v>3.97615180686749</v>
      </c>
      <c r="H62" s="7"/>
      <c r="I62" s="28" t="s">
        <v>134</v>
      </c>
      <c r="J62" s="24"/>
      <c r="K62" s="29">
        <v>0</v>
      </c>
      <c r="L62" s="24"/>
      <c r="M62" s="30">
        <v>0</v>
      </c>
      <c r="N62" s="24"/>
      <c r="O62" s="28" t="s">
        <v>144</v>
      </c>
      <c r="P62" s="24"/>
    </row>
    <row r="63" ht="19.5" customHeight="1" spans="1:16">
      <c r="A63" s="22" t="s">
        <v>146</v>
      </c>
      <c r="B63" s="23"/>
      <c r="C63" s="23"/>
      <c r="D63" s="23"/>
      <c r="E63" s="23"/>
      <c r="F63" s="23"/>
      <c r="G63" s="24"/>
      <c r="H63" s="7"/>
      <c r="I63" s="28" t="s">
        <v>147</v>
      </c>
      <c r="J63" s="24"/>
      <c r="K63" s="29">
        <v>0</v>
      </c>
      <c r="L63" s="24"/>
      <c r="M63" s="30">
        <v>0</v>
      </c>
      <c r="N63" s="24"/>
      <c r="O63" s="28" t="s">
        <v>144</v>
      </c>
      <c r="P63" s="24"/>
    </row>
    <row r="64" ht="19.5" customHeight="1" spans="1:16">
      <c r="A64" s="25" t="s">
        <v>67</v>
      </c>
      <c r="B64" s="24"/>
      <c r="C64" s="25" t="s">
        <v>122</v>
      </c>
      <c r="D64" s="24"/>
      <c r="E64" s="27" t="s">
        <v>139</v>
      </c>
      <c r="F64" s="25" t="s">
        <v>123</v>
      </c>
      <c r="G64" s="25" t="s">
        <v>140</v>
      </c>
      <c r="H64" s="7"/>
      <c r="I64" s="34" t="s">
        <v>148</v>
      </c>
      <c r="J64" s="24"/>
      <c r="K64" s="35">
        <v>21401049.6</v>
      </c>
      <c r="L64" s="24"/>
      <c r="M64" s="36">
        <f>IFERROR(K64/$B$53,0)</f>
        <v>0.186995482969916</v>
      </c>
      <c r="N64" s="24"/>
      <c r="O64" s="34" t="s">
        <v>149</v>
      </c>
      <c r="P64" s="24"/>
    </row>
    <row r="65" ht="19.5" customHeight="1" spans="1:17">
      <c r="A65" s="28" t="s">
        <v>138</v>
      </c>
      <c r="B65" s="24"/>
      <c r="C65" s="29">
        <v>17167032</v>
      </c>
      <c r="D65" s="24"/>
      <c r="E65" s="30">
        <v>0.15</v>
      </c>
      <c r="F65" s="37">
        <v>16471332</v>
      </c>
      <c r="G65" s="28" t="s">
        <v>142</v>
      </c>
      <c r="H65" s="7"/>
      <c r="I65" s="7"/>
      <c r="J65" s="7"/>
      <c r="K65" s="7"/>
      <c r="L65" s="7"/>
      <c r="M65" s="7"/>
      <c r="N65" s="7"/>
      <c r="O65" s="7"/>
      <c r="P65" s="7"/>
    </row>
    <row r="66" ht="19.5" customHeight="1" spans="1:17">
      <c r="A66" s="28" t="s">
        <v>136</v>
      </c>
      <c r="B66" s="24"/>
      <c r="C66" s="29">
        <v>2288938</v>
      </c>
      <c r="D66" s="24"/>
      <c r="E66" s="30">
        <v>0.02</v>
      </c>
      <c r="F66" s="37">
        <v>2196178</v>
      </c>
      <c r="G66" s="28" t="s">
        <v>144</v>
      </c>
      <c r="H66" s="7"/>
      <c r="I66" s="7"/>
      <c r="J66" s="7"/>
      <c r="K66" s="7"/>
      <c r="L66" s="7"/>
      <c r="M66" s="7"/>
      <c r="N66" s="7"/>
      <c r="O66" s="7"/>
      <c r="P66" s="7"/>
    </row>
    <row r="67" ht="19.5" customHeight="1" spans="1:17">
      <c r="A67" s="28" t="s">
        <v>141</v>
      </c>
      <c r="B67" s="24"/>
      <c r="C67" s="29">
        <v>1945080</v>
      </c>
      <c r="D67" s="24"/>
      <c r="E67" s="30">
        <v>0.0169954829699158</v>
      </c>
      <c r="F67" s="37">
        <v>1285134</v>
      </c>
      <c r="G67" s="28" t="s">
        <v>144</v>
      </c>
      <c r="H67" s="7"/>
      <c r="I67" s="7"/>
      <c r="J67" s="7"/>
      <c r="K67" s="7"/>
      <c r="L67" s="7"/>
      <c r="M67" s="7"/>
      <c r="N67" s="7"/>
      <c r="O67" s="7"/>
      <c r="P67" s="7"/>
    </row>
    <row r="68" ht="21.75" customHeight="1" spans="1:17">
      <c r="A68" s="54" t="s">
        <v>150</v>
      </c>
    </row>
    <row r="69" ht="30" customHeight="1" spans="1:17">
      <c r="A69" s="16" t="s">
        <v>62</v>
      </c>
      <c r="B69" s="38" t="s">
        <v>151</v>
      </c>
      <c r="C69" s="38" t="s">
        <v>152</v>
      </c>
      <c r="D69" s="38" t="s">
        <v>153</v>
      </c>
      <c r="E69" s="38" t="s">
        <v>154</v>
      </c>
      <c r="F69" s="39" t="s">
        <v>155</v>
      </c>
      <c r="G69" s="38" t="s">
        <v>130</v>
      </c>
      <c r="H69" s="38" t="s">
        <v>134</v>
      </c>
      <c r="I69" s="38" t="s">
        <v>156</v>
      </c>
      <c r="J69" s="38" t="s">
        <v>138</v>
      </c>
      <c r="K69" s="38" t="s">
        <v>157</v>
      </c>
      <c r="L69" s="38" t="s">
        <v>147</v>
      </c>
      <c r="M69" s="38" t="s">
        <v>158</v>
      </c>
      <c r="N69" s="38" t="s">
        <v>145</v>
      </c>
      <c r="O69" s="38" t="s">
        <v>159</v>
      </c>
      <c r="P69" s="38" t="s">
        <v>45</v>
      </c>
      <c r="Q69" s="39" t="s">
        <v>46</v>
      </c>
    </row>
    <row r="70" ht="18.75" customHeight="1" spans="1:17">
      <c r="A70" s="40" t="s">
        <v>70</v>
      </c>
      <c r="B70" s="19">
        <v>1516666.62</v>
      </c>
      <c r="C70" s="19">
        <v>1638000</v>
      </c>
      <c r="D70" s="19">
        <v>31070000</v>
      </c>
      <c r="E70" s="19">
        <v>1</v>
      </c>
      <c r="F70" s="20">
        <v>0</v>
      </c>
      <c r="G70" s="19">
        <v>1217284.86</v>
      </c>
      <c r="H70" s="19">
        <v>0</v>
      </c>
      <c r="I70" s="19">
        <v>32760</v>
      </c>
      <c r="J70" s="19">
        <v>245700</v>
      </c>
      <c r="K70" s="19">
        <v>328898</v>
      </c>
      <c r="L70" s="19">
        <v>0</v>
      </c>
      <c r="M70" s="19">
        <v>0</v>
      </c>
      <c r="N70" s="19">
        <v>0</v>
      </c>
      <c r="O70" s="19">
        <f t="shared" ref="O70:O81" si="2">SUM(G70:N70)</f>
        <v>1824642.86</v>
      </c>
      <c r="P70" s="19">
        <v>-186642.86</v>
      </c>
      <c r="Q70" s="41">
        <f t="shared" ref="Q70:Q81" si="3">IFERROR(P70/C70,0)</f>
        <v>-0.11394557997558</v>
      </c>
    </row>
    <row r="71" ht="18.75" customHeight="1" spans="1:17">
      <c r="A71" s="40" t="s">
        <v>72</v>
      </c>
      <c r="B71" s="19">
        <v>2777777.8</v>
      </c>
      <c r="C71" s="19">
        <v>3000000</v>
      </c>
      <c r="D71" s="19">
        <v>-1432800</v>
      </c>
      <c r="E71" s="19">
        <v>1</v>
      </c>
      <c r="F71" s="20">
        <v>0</v>
      </c>
      <c r="G71" s="19">
        <v>1159678.2</v>
      </c>
      <c r="H71" s="19">
        <v>0</v>
      </c>
      <c r="I71" s="19">
        <v>60000</v>
      </c>
      <c r="J71" s="19">
        <v>450000</v>
      </c>
      <c r="K71" s="19">
        <v>331048</v>
      </c>
      <c r="L71" s="19">
        <v>0</v>
      </c>
      <c r="M71" s="19">
        <v>0</v>
      </c>
      <c r="N71" s="19">
        <v>0</v>
      </c>
      <c r="O71" s="19">
        <f t="shared" si="2"/>
        <v>2000726.2</v>
      </c>
      <c r="P71" s="19">
        <v>999273.8</v>
      </c>
      <c r="Q71" s="41">
        <f t="shared" si="3"/>
        <v>0.333091266666667</v>
      </c>
    </row>
    <row r="72" ht="18.75" customHeight="1" spans="1:17">
      <c r="A72" s="40" t="s">
        <v>74</v>
      </c>
      <c r="B72" s="19">
        <v>0</v>
      </c>
      <c r="C72" s="19">
        <v>0</v>
      </c>
      <c r="D72" s="19">
        <v>18514440</v>
      </c>
      <c r="E72" s="19">
        <v>0</v>
      </c>
      <c r="F72" s="20">
        <v>0</v>
      </c>
      <c r="G72" s="19">
        <v>0</v>
      </c>
      <c r="H72" s="19">
        <v>0</v>
      </c>
      <c r="I72" s="19">
        <v>0</v>
      </c>
      <c r="J72" s="19">
        <v>0</v>
      </c>
      <c r="K72" s="19">
        <v>0</v>
      </c>
      <c r="L72" s="19">
        <v>0</v>
      </c>
      <c r="M72" s="19">
        <v>0</v>
      </c>
      <c r="N72" s="19">
        <v>0</v>
      </c>
      <c r="O72" s="19">
        <f t="shared" si="2"/>
        <v>0</v>
      </c>
      <c r="P72" s="19">
        <v>0</v>
      </c>
      <c r="Q72" s="41">
        <f t="shared" si="3"/>
        <v>0</v>
      </c>
    </row>
    <row r="73" ht="18.75" customHeight="1" spans="1:17">
      <c r="A73" s="40" t="s">
        <v>76</v>
      </c>
      <c r="B73" s="19">
        <v>0</v>
      </c>
      <c r="C73" s="19">
        <v>0</v>
      </c>
      <c r="D73" s="19">
        <v>0</v>
      </c>
      <c r="E73" s="19">
        <v>0</v>
      </c>
      <c r="F73" s="20">
        <v>0</v>
      </c>
      <c r="G73" s="19">
        <v>0</v>
      </c>
      <c r="H73" s="19">
        <v>0</v>
      </c>
      <c r="I73" s="19">
        <v>0</v>
      </c>
      <c r="J73" s="19">
        <v>0</v>
      </c>
      <c r="K73" s="19">
        <v>0</v>
      </c>
      <c r="L73" s="19">
        <v>0</v>
      </c>
      <c r="M73" s="19">
        <v>0</v>
      </c>
      <c r="N73" s="19">
        <v>0</v>
      </c>
      <c r="O73" s="19">
        <f t="shared" si="2"/>
        <v>0</v>
      </c>
      <c r="P73" s="19">
        <v>0</v>
      </c>
      <c r="Q73" s="41">
        <f t="shared" si="3"/>
        <v>0</v>
      </c>
    </row>
    <row r="74" ht="18.75" customHeight="1" spans="1:17">
      <c r="A74" s="40" t="s">
        <v>78</v>
      </c>
      <c r="B74" s="19">
        <v>0</v>
      </c>
      <c r="C74" s="19">
        <v>0</v>
      </c>
      <c r="D74" s="19">
        <v>6672000</v>
      </c>
      <c r="E74" s="19">
        <v>0</v>
      </c>
      <c r="F74" s="20">
        <v>0</v>
      </c>
      <c r="G74" s="19">
        <v>0</v>
      </c>
      <c r="H74" s="19">
        <v>0</v>
      </c>
      <c r="I74" s="19">
        <v>0</v>
      </c>
      <c r="J74" s="19">
        <v>0</v>
      </c>
      <c r="K74" s="19">
        <v>0</v>
      </c>
      <c r="L74" s="19">
        <v>0</v>
      </c>
      <c r="M74" s="19">
        <v>0</v>
      </c>
      <c r="N74" s="19">
        <v>0</v>
      </c>
      <c r="O74" s="19">
        <f t="shared" si="2"/>
        <v>0</v>
      </c>
      <c r="P74" s="19">
        <v>0</v>
      </c>
      <c r="Q74" s="41">
        <f t="shared" si="3"/>
        <v>0</v>
      </c>
    </row>
    <row r="75" ht="18.75" customHeight="1" spans="1:17">
      <c r="A75" s="40" t="s">
        <v>80</v>
      </c>
      <c r="B75" s="19">
        <v>57288888.48</v>
      </c>
      <c r="C75" s="19">
        <v>37717920</v>
      </c>
      <c r="D75" s="19">
        <v>0</v>
      </c>
      <c r="E75" s="19">
        <v>1</v>
      </c>
      <c r="F75" s="20">
        <v>0</v>
      </c>
      <c r="G75" s="19">
        <v>18785128.83</v>
      </c>
      <c r="H75" s="19">
        <v>0</v>
      </c>
      <c r="I75" s="19">
        <v>754358.4</v>
      </c>
      <c r="J75" s="19">
        <v>5657688</v>
      </c>
      <c r="K75" s="19">
        <v>98934</v>
      </c>
      <c r="L75" s="19">
        <v>0</v>
      </c>
      <c r="M75" s="19">
        <v>0</v>
      </c>
      <c r="N75" s="19">
        <v>0</v>
      </c>
      <c r="O75" s="19">
        <f t="shared" si="2"/>
        <v>25296109.23</v>
      </c>
      <c r="P75" s="19">
        <v>12421810.77</v>
      </c>
      <c r="Q75" s="41">
        <f t="shared" si="3"/>
        <v>0.329334458793062</v>
      </c>
    </row>
    <row r="76" ht="18.75" customHeight="1" spans="1:17">
      <c r="A76" s="40" t="s">
        <v>82</v>
      </c>
      <c r="B76" s="19">
        <v>0</v>
      </c>
      <c r="C76" s="19">
        <v>0</v>
      </c>
      <c r="D76" s="19">
        <v>0</v>
      </c>
      <c r="E76" s="19">
        <v>0</v>
      </c>
      <c r="F76" s="20">
        <v>0</v>
      </c>
      <c r="G76" s="19">
        <v>0</v>
      </c>
      <c r="H76" s="19">
        <v>0</v>
      </c>
      <c r="I76" s="19">
        <v>0</v>
      </c>
      <c r="J76" s="19">
        <v>0</v>
      </c>
      <c r="K76" s="19">
        <v>0</v>
      </c>
      <c r="L76" s="19">
        <v>0</v>
      </c>
      <c r="M76" s="19">
        <v>0</v>
      </c>
      <c r="N76" s="19">
        <v>0</v>
      </c>
      <c r="O76" s="19">
        <f t="shared" si="2"/>
        <v>0</v>
      </c>
      <c r="P76" s="19">
        <v>0</v>
      </c>
      <c r="Q76" s="41">
        <f t="shared" si="3"/>
        <v>0</v>
      </c>
    </row>
    <row r="77" ht="18.75" customHeight="1" spans="1:17">
      <c r="A77" s="40" t="s">
        <v>84</v>
      </c>
      <c r="B77" s="19">
        <v>69605557.1</v>
      </c>
      <c r="C77" s="19">
        <v>51216960</v>
      </c>
      <c r="D77" s="19">
        <v>0</v>
      </c>
      <c r="E77" s="19">
        <v>3</v>
      </c>
      <c r="F77" s="20">
        <v>0</v>
      </c>
      <c r="G77" s="19">
        <v>25280546.34</v>
      </c>
      <c r="H77" s="19">
        <v>0</v>
      </c>
      <c r="I77" s="19">
        <v>1024339.2</v>
      </c>
      <c r="J77" s="19">
        <v>7682544</v>
      </c>
      <c r="K77" s="19">
        <v>349311</v>
      </c>
      <c r="L77" s="19">
        <v>0</v>
      </c>
      <c r="M77" s="19">
        <v>0</v>
      </c>
      <c r="N77" s="19">
        <v>0</v>
      </c>
      <c r="O77" s="19">
        <f t="shared" si="2"/>
        <v>34336740.54</v>
      </c>
      <c r="P77" s="19">
        <v>16880219.46</v>
      </c>
      <c r="Q77" s="41">
        <f t="shared" si="3"/>
        <v>0.329582612087871</v>
      </c>
    </row>
    <row r="78" ht="18.75" customHeight="1" spans="1:17">
      <c r="A78" s="40" t="s">
        <v>85</v>
      </c>
      <c r="B78" s="19">
        <v>4466666.76</v>
      </c>
      <c r="C78" s="19">
        <v>4824000</v>
      </c>
      <c r="D78" s="19">
        <v>5724000</v>
      </c>
      <c r="E78" s="19">
        <v>1</v>
      </c>
      <c r="F78" s="20">
        <v>0</v>
      </c>
      <c r="G78" s="19">
        <v>2091660.48</v>
      </c>
      <c r="H78" s="19">
        <v>0</v>
      </c>
      <c r="I78" s="19">
        <v>96480</v>
      </c>
      <c r="J78" s="19">
        <v>723600</v>
      </c>
      <c r="K78" s="19">
        <v>327860</v>
      </c>
      <c r="L78" s="19">
        <v>0</v>
      </c>
      <c r="M78" s="19">
        <v>0</v>
      </c>
      <c r="N78" s="19">
        <v>0</v>
      </c>
      <c r="O78" s="19">
        <f t="shared" si="2"/>
        <v>3239600.48</v>
      </c>
      <c r="P78" s="19">
        <v>1584399.52</v>
      </c>
      <c r="Q78" s="41">
        <f t="shared" si="3"/>
        <v>0.328441028192371</v>
      </c>
    </row>
    <row r="79" ht="18.75" customHeight="1" spans="1:17">
      <c r="A79" s="40" t="s">
        <v>86</v>
      </c>
      <c r="B79" s="19">
        <v>9083333.4</v>
      </c>
      <c r="C79" s="19">
        <v>9810000</v>
      </c>
      <c r="D79" s="19">
        <v>0</v>
      </c>
      <c r="E79" s="19">
        <v>1</v>
      </c>
      <c r="F79" s="20">
        <v>0</v>
      </c>
      <c r="G79" s="19">
        <v>7454092.91</v>
      </c>
      <c r="H79" s="19">
        <v>0</v>
      </c>
      <c r="I79" s="19">
        <v>196200</v>
      </c>
      <c r="J79" s="19">
        <v>1471500</v>
      </c>
      <c r="K79" s="19">
        <v>288194</v>
      </c>
      <c r="L79" s="19">
        <v>0</v>
      </c>
      <c r="M79" s="19">
        <v>0</v>
      </c>
      <c r="N79" s="19">
        <v>0</v>
      </c>
      <c r="O79" s="19">
        <f t="shared" si="2"/>
        <v>9409986.91</v>
      </c>
      <c r="P79" s="19">
        <v>400013.09</v>
      </c>
      <c r="Q79" s="41">
        <f t="shared" si="3"/>
        <v>0.0407760540265036</v>
      </c>
    </row>
    <row r="80" ht="18.75" customHeight="1" spans="1:17">
      <c r="A80" s="40" t="s">
        <v>87</v>
      </c>
      <c r="B80" s="19">
        <v>5777777.6</v>
      </c>
      <c r="C80" s="19">
        <v>6240000</v>
      </c>
      <c r="D80" s="19">
        <v>0</v>
      </c>
      <c r="E80" s="19">
        <v>1</v>
      </c>
      <c r="F80" s="20">
        <v>0</v>
      </c>
      <c r="G80" s="19">
        <v>4869139.44</v>
      </c>
      <c r="H80" s="19">
        <v>0</v>
      </c>
      <c r="I80" s="19">
        <v>124800</v>
      </c>
      <c r="J80" s="19">
        <v>936000</v>
      </c>
      <c r="K80" s="19">
        <v>220835</v>
      </c>
      <c r="L80" s="19">
        <v>0</v>
      </c>
      <c r="M80" s="19">
        <v>0</v>
      </c>
      <c r="N80" s="19">
        <v>0</v>
      </c>
      <c r="O80" s="19">
        <f t="shared" si="2"/>
        <v>6150774.44</v>
      </c>
      <c r="P80" s="19">
        <v>89225.56</v>
      </c>
      <c r="Q80" s="41">
        <f t="shared" si="3"/>
        <v>0.0142989679487179</v>
      </c>
    </row>
    <row r="81" ht="18.75" customHeight="1" spans="1:17">
      <c r="A81" s="40" t="s">
        <v>88</v>
      </c>
      <c r="B81" s="19">
        <v>0</v>
      </c>
      <c r="C81" s="19">
        <v>0</v>
      </c>
      <c r="D81" s="19">
        <v>0</v>
      </c>
      <c r="E81" s="19">
        <v>0</v>
      </c>
      <c r="F81" s="20">
        <v>0</v>
      </c>
      <c r="G81" s="19">
        <v>0</v>
      </c>
      <c r="H81" s="19">
        <v>0</v>
      </c>
      <c r="I81" s="19">
        <v>0</v>
      </c>
      <c r="J81" s="19">
        <v>0</v>
      </c>
      <c r="K81" s="19">
        <v>0</v>
      </c>
      <c r="L81" s="19">
        <v>0</v>
      </c>
      <c r="M81" s="19">
        <v>0</v>
      </c>
      <c r="N81" s="19">
        <v>0</v>
      </c>
      <c r="O81" s="19">
        <f t="shared" si="2"/>
        <v>0</v>
      </c>
      <c r="P81" s="19">
        <v>0</v>
      </c>
      <c r="Q81" s="41">
        <f t="shared" si="3"/>
        <v>0</v>
      </c>
    </row>
    <row r="82" ht="18.75" hidden="1" customHeight="1" spans="1:17">
      <c r="A82" s="40"/>
      <c r="B82" s="42"/>
      <c r="C82" s="42"/>
      <c r="D82" s="42"/>
      <c r="E82" s="43"/>
      <c r="F82" s="42"/>
      <c r="G82" s="42"/>
      <c r="H82" s="42"/>
      <c r="I82" s="42"/>
      <c r="J82" s="42"/>
      <c r="K82" s="42"/>
      <c r="L82" s="42"/>
      <c r="M82" s="42"/>
      <c r="N82" s="42"/>
      <c r="O82" s="43"/>
      <c r="P82" s="42"/>
    </row>
    <row r="83" ht="18.75" hidden="1" customHeight="1" spans="1:17">
      <c r="A83" s="40"/>
      <c r="B83" s="42"/>
      <c r="C83" s="42"/>
      <c r="D83" s="42"/>
      <c r="E83" s="43"/>
      <c r="F83" s="42"/>
      <c r="G83" s="42"/>
      <c r="H83" s="42"/>
      <c r="I83" s="42"/>
      <c r="J83" s="42"/>
      <c r="K83" s="42"/>
      <c r="L83" s="42"/>
      <c r="M83" s="42"/>
      <c r="N83" s="42"/>
      <c r="O83" s="43"/>
      <c r="P83" s="42"/>
    </row>
    <row r="84" ht="18.75" hidden="1" customHeight="1" spans="1:17">
      <c r="A84" s="40"/>
      <c r="B84" s="42"/>
      <c r="C84" s="42"/>
      <c r="D84" s="42"/>
      <c r="E84" s="43"/>
      <c r="F84" s="42"/>
      <c r="G84" s="42"/>
      <c r="H84" s="42"/>
      <c r="I84" s="42"/>
      <c r="J84" s="42"/>
      <c r="K84" s="42"/>
      <c r="L84" s="42"/>
      <c r="M84" s="42"/>
      <c r="N84" s="42"/>
      <c r="O84" s="43"/>
      <c r="P84" s="42"/>
    </row>
    <row r="85" ht="18.75" hidden="1" customHeight="1" spans="1:17">
      <c r="A85" s="40"/>
      <c r="B85" s="42"/>
      <c r="C85" s="42"/>
      <c r="D85" s="42"/>
      <c r="E85" s="43"/>
      <c r="F85" s="42"/>
      <c r="G85" s="42"/>
      <c r="H85" s="42"/>
      <c r="I85" s="42"/>
      <c r="J85" s="42"/>
      <c r="K85" s="42"/>
      <c r="L85" s="42"/>
      <c r="M85" s="42"/>
      <c r="N85" s="42"/>
      <c r="O85" s="43"/>
      <c r="P85" s="42"/>
    </row>
    <row r="86" ht="18.75" hidden="1" customHeight="1" spans="1:17">
      <c r="A86" s="40"/>
      <c r="B86" s="42"/>
      <c r="C86" s="42"/>
      <c r="D86" s="42"/>
      <c r="E86" s="43"/>
      <c r="F86" s="42"/>
      <c r="G86" s="42"/>
      <c r="H86" s="42"/>
      <c r="I86" s="42"/>
      <c r="J86" s="42"/>
      <c r="K86" s="42"/>
      <c r="L86" s="42"/>
      <c r="M86" s="42"/>
      <c r="N86" s="42"/>
      <c r="O86" s="43"/>
      <c r="P86" s="42"/>
    </row>
    <row r="87" ht="18.75" hidden="1" customHeight="1" spans="1:17">
      <c r="A87" s="40"/>
      <c r="B87" s="42"/>
      <c r="C87" s="42"/>
      <c r="D87" s="42"/>
      <c r="E87" s="43"/>
      <c r="F87" s="42"/>
      <c r="G87" s="42"/>
      <c r="H87" s="42"/>
      <c r="I87" s="42"/>
      <c r="J87" s="42"/>
      <c r="K87" s="42"/>
      <c r="L87" s="42"/>
      <c r="M87" s="42"/>
      <c r="N87" s="42"/>
      <c r="O87" s="43"/>
      <c r="P87" s="42"/>
    </row>
    <row r="88" ht="18.75" hidden="1" customHeight="1" spans="1:17">
      <c r="A88" s="40"/>
      <c r="B88" s="42"/>
      <c r="C88" s="42"/>
      <c r="D88" s="42"/>
      <c r="E88" s="43"/>
      <c r="F88" s="42"/>
      <c r="G88" s="42"/>
      <c r="H88" s="42"/>
      <c r="I88" s="42"/>
      <c r="J88" s="42"/>
      <c r="K88" s="42"/>
      <c r="L88" s="42"/>
      <c r="M88" s="42"/>
      <c r="N88" s="42"/>
      <c r="O88" s="43"/>
      <c r="P88" s="42"/>
    </row>
    <row r="89" ht="18.75" hidden="1" customHeight="1" spans="1:17">
      <c r="A89" s="40"/>
      <c r="B89" s="42"/>
      <c r="C89" s="42"/>
      <c r="D89" s="42"/>
      <c r="E89" s="43"/>
      <c r="F89" s="42"/>
      <c r="G89" s="42"/>
      <c r="H89" s="42"/>
      <c r="I89" s="42"/>
      <c r="J89" s="42"/>
      <c r="K89" s="42"/>
      <c r="L89" s="42"/>
      <c r="M89" s="42"/>
      <c r="N89" s="42"/>
      <c r="O89" s="43"/>
      <c r="P89" s="42"/>
    </row>
    <row r="90" ht="18.75" hidden="1" customHeight="1" spans="1:17">
      <c r="A90" s="40"/>
      <c r="B90" s="42"/>
      <c r="C90" s="42"/>
      <c r="D90" s="42"/>
      <c r="E90" s="43"/>
      <c r="F90" s="42"/>
      <c r="G90" s="42"/>
      <c r="H90" s="42"/>
      <c r="I90" s="42"/>
      <c r="J90" s="42"/>
      <c r="K90" s="42"/>
      <c r="L90" s="42"/>
      <c r="M90" s="42"/>
      <c r="N90" s="42"/>
      <c r="O90" s="43"/>
      <c r="P90" s="42"/>
    </row>
    <row r="91" ht="18.75" hidden="1" customHeight="1" spans="1:17">
      <c r="A91" s="40"/>
      <c r="B91" s="42"/>
      <c r="C91" s="42"/>
      <c r="D91" s="42"/>
      <c r="E91" s="43"/>
      <c r="F91" s="42"/>
      <c r="G91" s="42"/>
      <c r="H91" s="42"/>
      <c r="I91" s="42"/>
      <c r="J91" s="42"/>
      <c r="K91" s="42"/>
      <c r="L91" s="42"/>
      <c r="M91" s="42"/>
      <c r="N91" s="42"/>
      <c r="O91" s="43"/>
      <c r="P91" s="42"/>
    </row>
    <row r="92" ht="18.75" hidden="1" customHeight="1" spans="1:17">
      <c r="A92" s="40"/>
      <c r="B92" s="42"/>
      <c r="C92" s="42"/>
      <c r="D92" s="42"/>
      <c r="E92" s="43"/>
      <c r="F92" s="42"/>
      <c r="G92" s="42"/>
      <c r="H92" s="42"/>
      <c r="I92" s="42"/>
      <c r="J92" s="42"/>
      <c r="K92" s="42"/>
      <c r="L92" s="42"/>
      <c r="M92" s="42"/>
      <c r="N92" s="42"/>
      <c r="O92" s="43"/>
      <c r="P92" s="42"/>
    </row>
    <row r="93" ht="18.75" hidden="1" customHeight="1" spans="1:17">
      <c r="A93" s="40"/>
      <c r="B93" s="42"/>
      <c r="C93" s="42"/>
      <c r="D93" s="42"/>
      <c r="E93" s="43"/>
      <c r="F93" s="42"/>
      <c r="G93" s="42"/>
      <c r="H93" s="42"/>
      <c r="I93" s="42"/>
      <c r="J93" s="42"/>
      <c r="K93" s="42"/>
      <c r="L93" s="42"/>
      <c r="M93" s="42"/>
      <c r="N93" s="42"/>
      <c r="O93" s="43"/>
      <c r="P93" s="42"/>
    </row>
    <row r="94" ht="18.75" hidden="1" customHeight="1" spans="1:17">
      <c r="A94" s="40"/>
      <c r="B94" s="42"/>
      <c r="C94" s="42"/>
      <c r="D94" s="42"/>
      <c r="E94" s="43"/>
      <c r="F94" s="42"/>
      <c r="G94" s="42"/>
      <c r="H94" s="42"/>
      <c r="I94" s="42"/>
      <c r="J94" s="42"/>
      <c r="K94" s="42"/>
      <c r="L94" s="42"/>
      <c r="M94" s="42"/>
      <c r="N94" s="42"/>
      <c r="O94" s="43"/>
      <c r="P94" s="42"/>
    </row>
    <row r="95" ht="18.75" hidden="1" customHeight="1" spans="1:17">
      <c r="A95" s="40"/>
      <c r="B95" s="42"/>
      <c r="C95" s="42"/>
      <c r="D95" s="42"/>
      <c r="E95" s="43"/>
      <c r="F95" s="42"/>
      <c r="G95" s="42"/>
      <c r="H95" s="42"/>
      <c r="I95" s="42"/>
      <c r="J95" s="42"/>
      <c r="K95" s="42"/>
      <c r="L95" s="42"/>
      <c r="M95" s="42"/>
      <c r="N95" s="42"/>
      <c r="O95" s="43"/>
      <c r="P95" s="42"/>
    </row>
    <row r="96" ht="18.75" hidden="1" customHeight="1" spans="1:17">
      <c r="A96" s="40"/>
      <c r="B96" s="42"/>
      <c r="C96" s="42"/>
      <c r="D96" s="42"/>
      <c r="E96" s="43"/>
      <c r="F96" s="42"/>
      <c r="G96" s="42"/>
      <c r="H96" s="42"/>
      <c r="I96" s="42"/>
      <c r="J96" s="42"/>
      <c r="K96" s="42"/>
      <c r="L96" s="42"/>
      <c r="M96" s="42"/>
      <c r="N96" s="42"/>
      <c r="O96" s="43"/>
      <c r="P96" s="42"/>
    </row>
    <row r="97" ht="18.75" hidden="1" customHeight="1" spans="1:16">
      <c r="A97" s="40"/>
      <c r="B97" s="42"/>
      <c r="C97" s="42"/>
      <c r="D97" s="42"/>
      <c r="E97" s="43"/>
      <c r="F97" s="42"/>
      <c r="G97" s="42"/>
      <c r="H97" s="42"/>
      <c r="I97" s="42"/>
      <c r="J97" s="42"/>
      <c r="K97" s="42"/>
      <c r="L97" s="42"/>
      <c r="M97" s="42"/>
      <c r="N97" s="42"/>
      <c r="O97" s="43"/>
      <c r="P97" s="42"/>
    </row>
    <row r="98" ht="15" customHeight="1" spans="1:16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</row>
    <row r="99" ht="15" customHeight="1" spans="1:16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</row>
    <row r="100" ht="21.75" customHeight="1" spans="1:16">
      <c r="A100" s="54" t="s">
        <v>160</v>
      </c>
    </row>
    <row r="101" ht="27.75" customHeight="1" spans="1:16">
      <c r="A101" s="16" t="s">
        <v>90</v>
      </c>
      <c r="B101" s="16" t="s">
        <v>91</v>
      </c>
      <c r="C101" s="16" t="s">
        <v>92</v>
      </c>
      <c r="D101" s="16"/>
      <c r="E101" s="16"/>
      <c r="F101" s="16"/>
      <c r="G101" s="16" t="s">
        <v>93</v>
      </c>
      <c r="H101" s="16" t="s">
        <v>94</v>
      </c>
      <c r="I101" s="16"/>
      <c r="J101" s="16" t="s">
        <v>44</v>
      </c>
      <c r="K101" s="16" t="s">
        <v>95</v>
      </c>
      <c r="L101" s="16" t="s">
        <v>96</v>
      </c>
      <c r="M101" s="16"/>
      <c r="N101" s="16"/>
      <c r="O101" s="16"/>
      <c r="P101" s="16"/>
    </row>
    <row r="102" ht="30.75" customHeight="1" spans="1:16">
      <c r="A102" s="44">
        <v>1</v>
      </c>
      <c r="B102" s="45" t="s">
        <v>161</v>
      </c>
      <c r="C102" s="18" t="s">
        <v>162</v>
      </c>
      <c r="G102" s="19">
        <v>31</v>
      </c>
      <c r="H102" s="19">
        <v>7241250</v>
      </c>
      <c r="J102" s="20">
        <v>0.0632717117321154</v>
      </c>
      <c r="K102" s="19">
        <v>2.58333333333333</v>
      </c>
      <c r="L102" s="18" t="s">
        <v>99</v>
      </c>
    </row>
    <row r="103" ht="30.75" customHeight="1" spans="1:16">
      <c r="A103" s="44">
        <v>2</v>
      </c>
      <c r="B103" s="45" t="s">
        <v>108</v>
      </c>
      <c r="C103" s="18" t="s">
        <v>109</v>
      </c>
      <c r="G103" s="19">
        <v>69</v>
      </c>
      <c r="H103" s="19">
        <v>6935220</v>
      </c>
      <c r="J103" s="20">
        <v>0.0605977200951219</v>
      </c>
      <c r="K103" s="19">
        <v>5.75</v>
      </c>
      <c r="L103" s="18" t="s">
        <v>99</v>
      </c>
    </row>
    <row r="104" ht="30.75" customHeight="1" spans="1:16">
      <c r="A104" s="44">
        <v>3</v>
      </c>
      <c r="B104" s="45" t="s">
        <v>163</v>
      </c>
      <c r="C104" s="18" t="s">
        <v>164</v>
      </c>
      <c r="G104" s="19">
        <v>62</v>
      </c>
      <c r="H104" s="19">
        <v>5213400</v>
      </c>
      <c r="J104" s="20">
        <v>0.0455530111436852</v>
      </c>
      <c r="K104" s="19">
        <v>5.16666666666667</v>
      </c>
      <c r="L104" s="18" t="s">
        <v>99</v>
      </c>
    </row>
    <row r="105" ht="30.75" customHeight="1" spans="1:16">
      <c r="A105" s="44">
        <v>4</v>
      </c>
      <c r="B105" s="45" t="s">
        <v>165</v>
      </c>
      <c r="C105" s="18" t="s">
        <v>166</v>
      </c>
      <c r="G105" s="19">
        <v>57</v>
      </c>
      <c r="H105" s="19">
        <v>4823400</v>
      </c>
      <c r="J105" s="20">
        <v>0.0421453166744257</v>
      </c>
      <c r="K105" s="19">
        <v>4.75</v>
      </c>
      <c r="L105" s="18" t="s">
        <v>99</v>
      </c>
    </row>
    <row r="106" ht="30.75" customHeight="1" spans="1:16">
      <c r="A106" s="44">
        <v>5</v>
      </c>
      <c r="B106" s="45" t="s">
        <v>167</v>
      </c>
      <c r="C106" s="18" t="s">
        <v>168</v>
      </c>
      <c r="G106" s="19">
        <v>55</v>
      </c>
      <c r="H106" s="19">
        <v>4526849</v>
      </c>
      <c r="J106" s="20">
        <v>0.0395541494883915</v>
      </c>
      <c r="K106" s="19">
        <v>4.58333333333333</v>
      </c>
      <c r="L106" s="18" t="s">
        <v>99</v>
      </c>
    </row>
    <row r="107" ht="30.75" customHeight="1" spans="1:16">
      <c r="A107" s="44">
        <v>6</v>
      </c>
      <c r="B107" s="45" t="s">
        <v>169</v>
      </c>
      <c r="C107" s="18" t="s">
        <v>170</v>
      </c>
      <c r="G107" s="19">
        <v>50</v>
      </c>
      <c r="H107" s="19">
        <v>4350000</v>
      </c>
      <c r="J107" s="20">
        <v>0.0380088998494323</v>
      </c>
      <c r="K107" s="19">
        <v>4.16666666666667</v>
      </c>
      <c r="L107" s="18" t="s">
        <v>99</v>
      </c>
    </row>
    <row r="108" ht="30.75" customHeight="1" spans="1:16">
      <c r="A108" s="44">
        <v>7</v>
      </c>
      <c r="B108" s="45" t="s">
        <v>171</v>
      </c>
      <c r="C108" s="18" t="s">
        <v>164</v>
      </c>
      <c r="G108" s="19">
        <v>34</v>
      </c>
      <c r="H108" s="19">
        <v>3880501</v>
      </c>
      <c r="J108" s="20">
        <v>0.0339065687068097</v>
      </c>
      <c r="K108" s="19">
        <v>2.83333333333333</v>
      </c>
      <c r="L108" s="18" t="s">
        <v>107</v>
      </c>
    </row>
    <row r="109" ht="30.75" customHeight="1" spans="1:16">
      <c r="A109" s="44">
        <v>8</v>
      </c>
      <c r="B109" s="45" t="s">
        <v>172</v>
      </c>
      <c r="C109" s="18" t="s">
        <v>104</v>
      </c>
      <c r="G109" s="19">
        <v>20</v>
      </c>
      <c r="H109" s="19">
        <v>3813920</v>
      </c>
      <c r="J109" s="20">
        <v>0.0333248053594821</v>
      </c>
      <c r="K109" s="19">
        <v>1.66666666666667</v>
      </c>
      <c r="L109" s="18" t="s">
        <v>107</v>
      </c>
    </row>
    <row r="110" ht="30.75" customHeight="1" spans="1:16">
      <c r="A110" s="44">
        <v>9</v>
      </c>
      <c r="B110" s="45" t="s">
        <v>173</v>
      </c>
      <c r="C110" s="18" t="s">
        <v>174</v>
      </c>
      <c r="G110" s="19">
        <v>20</v>
      </c>
      <c r="H110" s="19">
        <v>3263399</v>
      </c>
      <c r="J110" s="20">
        <v>0.0285145300597098</v>
      </c>
      <c r="K110" s="19">
        <v>1.66666666666667</v>
      </c>
      <c r="L110" s="18" t="s">
        <v>107</v>
      </c>
    </row>
    <row r="111" ht="30.75" customHeight="1" spans="1:16">
      <c r="A111" s="44">
        <v>10</v>
      </c>
      <c r="B111" s="45" t="s">
        <v>175</v>
      </c>
      <c r="C111" s="18" t="s">
        <v>176</v>
      </c>
      <c r="G111" s="19">
        <v>33</v>
      </c>
      <c r="H111" s="19">
        <v>3186000</v>
      </c>
      <c r="J111" s="20">
        <v>0.0278382425104118</v>
      </c>
      <c r="K111" s="19">
        <v>2.75</v>
      </c>
      <c r="L111" s="18" t="s">
        <v>107</v>
      </c>
    </row>
    <row r="112" ht="15" customHeight="1" spans="1:16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</row>
    <row r="113" ht="21.75" customHeight="1" spans="1:16">
      <c r="A113" s="54" t="s">
        <v>177</v>
      </c>
    </row>
    <row r="114" ht="27.75" customHeight="1" spans="1:16">
      <c r="A114" s="16" t="s">
        <v>90</v>
      </c>
      <c r="B114" s="16" t="s">
        <v>178</v>
      </c>
      <c r="C114" s="16" t="s">
        <v>179</v>
      </c>
      <c r="D114" s="16"/>
      <c r="E114" s="16"/>
      <c r="F114" s="16"/>
      <c r="G114" s="16" t="s">
        <v>180</v>
      </c>
      <c r="H114" s="16" t="s">
        <v>93</v>
      </c>
      <c r="I114" s="16" t="s">
        <v>94</v>
      </c>
      <c r="J114" s="16"/>
      <c r="K114" s="16" t="s">
        <v>153</v>
      </c>
      <c r="L114" s="16"/>
      <c r="M114" s="16" t="s">
        <v>181</v>
      </c>
      <c r="N114" s="16"/>
      <c r="O114" s="16" t="s">
        <v>182</v>
      </c>
      <c r="P114" s="16"/>
    </row>
    <row r="115" ht="30" customHeight="1" spans="1:16">
      <c r="A115" s="44">
        <v>1</v>
      </c>
      <c r="B115" s="45" t="s">
        <v>183</v>
      </c>
      <c r="C115" s="18" t="s">
        <v>184</v>
      </c>
      <c r="G115" s="19">
        <v>1</v>
      </c>
      <c r="H115" s="19">
        <v>327</v>
      </c>
      <c r="I115" s="19">
        <v>37717920</v>
      </c>
      <c r="K115" s="19">
        <v>0</v>
      </c>
      <c r="M115" s="20">
        <v>0</v>
      </c>
      <c r="O115" s="18" t="s">
        <v>185</v>
      </c>
    </row>
    <row r="116" ht="30" customHeight="1" spans="1:16">
      <c r="A116" s="44">
        <v>2</v>
      </c>
      <c r="B116" s="45" t="s">
        <v>186</v>
      </c>
      <c r="C116" s="18" t="s">
        <v>187</v>
      </c>
      <c r="G116" s="19">
        <v>1</v>
      </c>
      <c r="H116" s="19">
        <v>328</v>
      </c>
      <c r="I116" s="19">
        <v>37542960</v>
      </c>
      <c r="K116" s="19">
        <v>0</v>
      </c>
      <c r="M116" s="20">
        <v>0</v>
      </c>
      <c r="O116" s="18" t="s">
        <v>185</v>
      </c>
    </row>
    <row r="117" ht="30" customHeight="1" spans="1:16">
      <c r="A117" s="44">
        <v>3</v>
      </c>
      <c r="B117" s="45" t="s">
        <v>188</v>
      </c>
      <c r="C117" s="18" t="s">
        <v>189</v>
      </c>
      <c r="G117" s="19">
        <v>3</v>
      </c>
      <c r="H117" s="19">
        <v>242</v>
      </c>
      <c r="I117" s="19">
        <v>17688000</v>
      </c>
      <c r="K117" s="19">
        <v>0</v>
      </c>
      <c r="M117" s="20">
        <v>0</v>
      </c>
      <c r="O117" s="18" t="s">
        <v>185</v>
      </c>
    </row>
    <row r="118" ht="30" customHeight="1" spans="1:16">
      <c r="A118" s="44">
        <v>4</v>
      </c>
      <c r="B118" s="45" t="s">
        <v>190</v>
      </c>
      <c r="C118" s="18" t="s">
        <v>191</v>
      </c>
      <c r="G118" s="19">
        <v>1</v>
      </c>
      <c r="H118" s="19">
        <v>96</v>
      </c>
      <c r="I118" s="19">
        <v>10812000</v>
      </c>
      <c r="K118" s="19">
        <v>0</v>
      </c>
      <c r="M118" s="20">
        <v>0</v>
      </c>
      <c r="O118" s="18" t="s">
        <v>192</v>
      </c>
    </row>
    <row r="119" ht="30" customHeight="1" spans="1:16">
      <c r="A119" s="44">
        <v>5</v>
      </c>
      <c r="B119" s="45" t="s">
        <v>193</v>
      </c>
      <c r="C119" s="18" t="s">
        <v>194</v>
      </c>
      <c r="G119" s="19">
        <v>1</v>
      </c>
      <c r="H119" s="19">
        <v>30</v>
      </c>
      <c r="I119" s="19">
        <v>4824000</v>
      </c>
      <c r="K119" s="19">
        <v>0</v>
      </c>
      <c r="M119" s="20">
        <v>0</v>
      </c>
      <c r="O119" s="18" t="s">
        <v>192</v>
      </c>
    </row>
    <row r="120" ht="15" customHeight="1" spans="1:16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</row>
    <row r="121" ht="15" customHeight="1" spans="1:16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</row>
    <row r="122" ht="15" customHeight="1" spans="1:16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</row>
    <row r="123" ht="15" customHeight="1" spans="1:16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</row>
    <row r="124" ht="15" customHeight="1" spans="1:16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</row>
    <row r="125" ht="15" customHeight="1" spans="1:16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</row>
    <row r="126" ht="15" customHeight="1" spans="1:1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</row>
    <row r="127" ht="15" customHeight="1" spans="1:16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</row>
    <row r="128" ht="15" customHeight="1" spans="1:16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</row>
    <row r="129" ht="15" customHeight="1" spans="1:16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</row>
    <row r="130" ht="15" customHeight="1" spans="1:16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</row>
    <row r="131" ht="15" customHeight="1" spans="1:16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</row>
    <row r="132" ht="15" customHeight="1" spans="1:16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</row>
    <row r="133" ht="15" customHeight="1" spans="1:16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</row>
    <row r="134" ht="15" customHeight="1" spans="1:16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</row>
    <row r="135" ht="15" customHeight="1" spans="1:16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</row>
    <row r="136" ht="15" customHeight="1" spans="1:1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</row>
    <row r="137" ht="15" customHeight="1" spans="1:16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</row>
    <row r="138" ht="15" customHeight="1" spans="1:16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</row>
  </sheetData>
  <mergeCells count="136">
    <mergeCell ref="A3:C3"/>
    <mergeCell ref="D3:F3"/>
    <mergeCell ref="G3:I3"/>
    <mergeCell ref="J3:L3"/>
    <mergeCell ref="M3:N3"/>
    <mergeCell ref="O3:P3"/>
    <mergeCell ref="A4:P4"/>
    <mergeCell ref="A6:C6"/>
    <mergeCell ref="E6:G6"/>
    <mergeCell ref="I6:K6"/>
    <mergeCell ref="M6:O6"/>
    <mergeCell ref="A9:C9"/>
    <mergeCell ref="E9:G9"/>
    <mergeCell ref="I9:K9"/>
    <mergeCell ref="M9:O9"/>
    <mergeCell ref="A10:C10"/>
    <mergeCell ref="E10:G10"/>
    <mergeCell ref="I10:K10"/>
    <mergeCell ref="M10:O10"/>
    <mergeCell ref="A13:C13"/>
    <mergeCell ref="E13:G13"/>
    <mergeCell ref="I13:K13"/>
    <mergeCell ref="M13:O13"/>
    <mergeCell ref="A15:P15"/>
    <mergeCell ref="A50:P50"/>
    <mergeCell ref="I51:P51"/>
    <mergeCell ref="I52:P52"/>
    <mergeCell ref="I53:P53"/>
    <mergeCell ref="I54:P54"/>
    <mergeCell ref="I55:P55"/>
    <mergeCell ref="I56:P56"/>
    <mergeCell ref="I57:P57"/>
    <mergeCell ref="I58:J58"/>
    <mergeCell ref="K58:L58"/>
    <mergeCell ref="M58:N58"/>
    <mergeCell ref="O58:P58"/>
    <mergeCell ref="I59:J59"/>
    <mergeCell ref="K59:L59"/>
    <mergeCell ref="M59:N59"/>
    <mergeCell ref="O59:P59"/>
    <mergeCell ref="I60:J60"/>
    <mergeCell ref="K60:L60"/>
    <mergeCell ref="M60:N60"/>
    <mergeCell ref="O60:P60"/>
    <mergeCell ref="I61:J61"/>
    <mergeCell ref="K61:L61"/>
    <mergeCell ref="M61:N61"/>
    <mergeCell ref="O61:P61"/>
    <mergeCell ref="I62:J62"/>
    <mergeCell ref="K62:L62"/>
    <mergeCell ref="M62:N62"/>
    <mergeCell ref="O62:P62"/>
    <mergeCell ref="A63:G63"/>
    <mergeCell ref="I63:J63"/>
    <mergeCell ref="K63:L63"/>
    <mergeCell ref="M63:N63"/>
    <mergeCell ref="O63:P63"/>
    <mergeCell ref="A64:B64"/>
    <mergeCell ref="C64:D64"/>
    <mergeCell ref="I64:J64"/>
    <mergeCell ref="K64:L64"/>
    <mergeCell ref="M64:N64"/>
    <mergeCell ref="O64:P64"/>
    <mergeCell ref="A65:B65"/>
    <mergeCell ref="C65:D65"/>
    <mergeCell ref="A66:B66"/>
    <mergeCell ref="C66:D66"/>
    <mergeCell ref="A67:B67"/>
    <mergeCell ref="C67:D67"/>
    <mergeCell ref="A68:P68"/>
    <mergeCell ref="A100:P100"/>
    <mergeCell ref="C102:F102"/>
    <mergeCell ref="H102:I102"/>
    <mergeCell ref="L102:P102"/>
    <mergeCell ref="C103:F103"/>
    <mergeCell ref="H103:I103"/>
    <mergeCell ref="L103:P103"/>
    <mergeCell ref="C104:F104"/>
    <mergeCell ref="H104:I104"/>
    <mergeCell ref="L104:P104"/>
    <mergeCell ref="C105:F105"/>
    <mergeCell ref="H105:I105"/>
    <mergeCell ref="L105:P105"/>
    <mergeCell ref="C106:F106"/>
    <mergeCell ref="H106:I106"/>
    <mergeCell ref="L106:P106"/>
    <mergeCell ref="C107:F107"/>
    <mergeCell ref="H107:I107"/>
    <mergeCell ref="L107:P107"/>
    <mergeCell ref="C108:F108"/>
    <mergeCell ref="H108:I108"/>
    <mergeCell ref="L108:P108"/>
    <mergeCell ref="C109:F109"/>
    <mergeCell ref="H109:I109"/>
    <mergeCell ref="L109:P109"/>
    <mergeCell ref="C110:F110"/>
    <mergeCell ref="H110:I110"/>
    <mergeCell ref="L110:P110"/>
    <mergeCell ref="C111:F111"/>
    <mergeCell ref="H111:I111"/>
    <mergeCell ref="L111:P111"/>
    <mergeCell ref="A113:P113"/>
    <mergeCell ref="C115:F115"/>
    <mergeCell ref="I115:J115"/>
    <mergeCell ref="K115:L115"/>
    <mergeCell ref="M115:N115"/>
    <mergeCell ref="O115:P115"/>
    <mergeCell ref="C116:F116"/>
    <mergeCell ref="I116:J116"/>
    <mergeCell ref="K116:L116"/>
    <mergeCell ref="M116:N116"/>
    <mergeCell ref="O116:P116"/>
    <mergeCell ref="C117:F117"/>
    <mergeCell ref="I117:J117"/>
    <mergeCell ref="K117:L117"/>
    <mergeCell ref="M117:N117"/>
    <mergeCell ref="O117:P117"/>
    <mergeCell ref="C118:F118"/>
    <mergeCell ref="I118:J118"/>
    <mergeCell ref="K118:L118"/>
    <mergeCell ref="M118:N118"/>
    <mergeCell ref="O118:P118"/>
    <mergeCell ref="C119:F119"/>
    <mergeCell ref="I119:J119"/>
    <mergeCell ref="K119:L119"/>
    <mergeCell ref="M119:N119"/>
    <mergeCell ref="O119:P119"/>
    <mergeCell ref="A7:C8"/>
    <mergeCell ref="M7:O8"/>
    <mergeCell ref="E11:G12"/>
    <mergeCell ref="I7:K8"/>
    <mergeCell ref="A1:P2"/>
    <mergeCell ref="I11:K12"/>
    <mergeCell ref="A11:C12"/>
    <mergeCell ref="M11:O12"/>
    <mergeCell ref="E7:G8"/>
  </mergeCells>
  <conditionalFormatting sqref="J70:J97">
    <cfRule type="dataBar" priority="4">
      <dataBar>
        <cfvo type="min"/>
        <cfvo type="max"/>
        <color rgb="FF0F766E"/>
      </dataBar>
      <extLst>
        <ext xmlns:x14="http://schemas.microsoft.com/office/spreadsheetml/2009/9/main" uri="{B025F937-C7B1-47D3-B67F-A62EFF666E3E}">
          <x14:id>{509dac6f-e2ac-4a7a-8dc9-77d6d6b268b1}</x14:id>
        </ext>
      </extLst>
    </cfRule>
  </conditionalFormatting>
  <conditionalFormatting sqref="N70:N97">
    <cfRule type="cellIs" dxfId="3" priority="2" operator="lessThan">
      <formula>0</formula>
    </cfRule>
  </conditionalFormatting>
  <conditionalFormatting sqref="O70:O97">
    <cfRule type="cellIs" dxfId="3" priority="3" operator="lessThan">
      <formula>0</formula>
    </cfRule>
  </conditionalFormatting>
  <pageMargins left="0.7" right="0.7" top="0.75" bottom="0.75" header="0.511811023622047" footer="0.511811023622047"/>
  <pageSetup paperSize="9" orientation="portrait" horizontalDpi="300" verticalDpi="300"/>
  <headerFooter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09dac6f-e2ac-4a7a-8dc9-77d6d6b268b1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J70:J97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39"/>
  <sheetViews>
    <sheetView showGridLines="0" workbookViewId="0">
      <selection activeCell="A120" sqref="$A120:$XFD120"/>
    </sheetView>
  </sheetViews>
  <sheetFormatPr defaultColWidth="8.67592592592593" defaultRowHeight="13.2"/>
  <cols>
    <col min="1" max="1" width="12" customWidth="1"/>
    <col min="2" max="4" width="14" customWidth="1"/>
    <col min="5" max="5" width="11" customWidth="1"/>
    <col min="6" max="10" width="14" customWidth="1"/>
    <col min="11" max="13" width="12" customWidth="1"/>
    <col min="14" max="16" width="14" customWidth="1"/>
    <col min="17" max="17" width="11" customWidth="1"/>
    <col min="18" max="19" width="2.5" customWidth="1"/>
  </cols>
  <sheetData>
    <row r="1" ht="30" customHeight="1" spans="1:20">
      <c r="A1" s="1" t="s">
        <v>195</v>
      </c>
      <c r="R1" s="2" t="s">
        <v>1</v>
      </c>
      <c r="S1" s="3">
        <v>116054912</v>
      </c>
      <c r="T1" t="s">
        <v>1</v>
      </c>
    </row>
    <row r="2" ht="30" customHeight="1" spans="1:20">
      <c r="R2" s="2" t="s">
        <v>2</v>
      </c>
      <c r="S2" s="3">
        <v>365815317</v>
      </c>
      <c r="T2" t="s">
        <v>2</v>
      </c>
    </row>
    <row r="3" ht="21.75" customHeight="1" spans="1:20">
      <c r="A3" s="4" t="s">
        <v>3</v>
      </c>
      <c r="D3" s="4" t="s">
        <v>4</v>
      </c>
      <c r="G3" s="5" t="s">
        <v>5</v>
      </c>
      <c r="J3" s="4" t="s">
        <v>6</v>
      </c>
      <c r="M3" s="4" t="s">
        <v>7</v>
      </c>
      <c r="O3" s="4" t="s">
        <v>8</v>
      </c>
      <c r="R3" s="2" t="s">
        <v>9</v>
      </c>
      <c r="S3" s="3">
        <v>54392782.51</v>
      </c>
      <c r="T3" t="s">
        <v>9</v>
      </c>
    </row>
    <row r="4" ht="19.5" customHeight="1" spans="1:20">
      <c r="A4" s="6" t="s">
        <v>196</v>
      </c>
      <c r="R4" s="2" t="s">
        <v>11</v>
      </c>
      <c r="S4" s="3">
        <v>152609035.67</v>
      </c>
      <c r="T4" t="s">
        <v>11</v>
      </c>
    </row>
    <row r="5" ht="15" customHeight="1" spans="1:20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R5" s="2" t="s">
        <v>12</v>
      </c>
      <c r="S5" s="8">
        <v>0.468681433406283</v>
      </c>
      <c r="T5" t="s">
        <v>12</v>
      </c>
    </row>
    <row r="6" ht="19.5" customHeight="1" spans="1:20">
      <c r="A6" s="50" t="s">
        <v>13</v>
      </c>
      <c r="D6" s="7"/>
      <c r="E6" s="50" t="s">
        <v>14</v>
      </c>
      <c r="H6" s="7"/>
      <c r="I6" s="50" t="s">
        <v>15</v>
      </c>
      <c r="L6" s="7"/>
      <c r="M6" s="50" t="s">
        <v>16</v>
      </c>
      <c r="P6" s="7"/>
      <c r="R6" s="2" t="s">
        <v>17</v>
      </c>
      <c r="S6" s="8">
        <v>0.417175084196926</v>
      </c>
      <c r="T6" t="s">
        <v>17</v>
      </c>
    </row>
    <row r="7" ht="25.5" customHeight="1" spans="1:20">
      <c r="A7" s="10">
        <f>$S$1</f>
        <v>116054912</v>
      </c>
      <c r="D7" s="7"/>
      <c r="E7" s="10">
        <f>$S$3</f>
        <v>54392782.51</v>
      </c>
      <c r="H7" s="7"/>
      <c r="I7" s="11">
        <f>$S$5</f>
        <v>0.468681433406283</v>
      </c>
      <c r="L7" s="7"/>
      <c r="M7" s="12">
        <f>$S$7</f>
        <v>5</v>
      </c>
      <c r="P7" s="7"/>
      <c r="R7" s="2" t="s">
        <v>18</v>
      </c>
      <c r="S7" s="3">
        <v>5</v>
      </c>
      <c r="T7" t="s">
        <v>18</v>
      </c>
    </row>
    <row r="8" ht="25.5" customHeight="1" spans="1:20">
      <c r="D8" s="7"/>
      <c r="H8" s="7"/>
      <c r="L8" s="7"/>
      <c r="P8" s="7"/>
      <c r="R8" s="2" t="s">
        <v>19</v>
      </c>
      <c r="S8" s="3">
        <v>175</v>
      </c>
      <c r="T8" t="s">
        <v>19</v>
      </c>
    </row>
    <row r="9" ht="18.75" customHeight="1" spans="1:20">
      <c r="A9" s="13">
        <f>IFERROR($S$1/$S$2-1,0)</f>
        <v>-0.682749992669115</v>
      </c>
      <c r="D9" s="7"/>
      <c r="E9" s="14">
        <f>$S$3-$S$4</f>
        <v>-98216253.16</v>
      </c>
      <c r="H9" s="7"/>
      <c r="I9" s="13">
        <f>$S$5-$S$6</f>
        <v>0.051506349209357</v>
      </c>
      <c r="L9" s="7"/>
      <c r="M9" s="13">
        <f>IFERROR($S$7/$S$8-1,0)</f>
        <v>-0.971428571428571</v>
      </c>
      <c r="P9" s="7"/>
      <c r="R9" s="2" t="s">
        <v>20</v>
      </c>
      <c r="S9" s="8">
        <v>0.638681433406283</v>
      </c>
      <c r="T9" t="s">
        <v>20</v>
      </c>
    </row>
    <row r="10" ht="19.5" customHeight="1" spans="1:20">
      <c r="A10" s="50" t="s">
        <v>21</v>
      </c>
      <c r="D10" s="7"/>
      <c r="E10" s="50" t="s">
        <v>22</v>
      </c>
      <c r="H10" s="7"/>
      <c r="I10" s="50" t="s">
        <v>23</v>
      </c>
      <c r="L10" s="7"/>
      <c r="M10" s="50" t="s">
        <v>24</v>
      </c>
      <c r="P10" s="7"/>
      <c r="R10" s="2" t="s">
        <v>25</v>
      </c>
      <c r="S10" s="8">
        <v>0.587175084196926</v>
      </c>
      <c r="T10" t="s">
        <v>25</v>
      </c>
    </row>
    <row r="11" ht="25.5" customHeight="1" spans="1:20">
      <c r="A11" s="11">
        <f>$S$9</f>
        <v>0.638681433406283</v>
      </c>
      <c r="D11" s="7"/>
      <c r="E11" s="11">
        <f>$S$11</f>
        <v>0</v>
      </c>
      <c r="H11" s="7"/>
      <c r="I11" s="11">
        <f>$S$13</f>
        <v>0</v>
      </c>
      <c r="L11" s="7"/>
      <c r="M11" s="10">
        <f>$S$15</f>
        <v>299808522.666667</v>
      </c>
      <c r="P11" s="7"/>
      <c r="R11" s="2" t="s">
        <v>26</v>
      </c>
      <c r="S11" s="8">
        <v>0</v>
      </c>
      <c r="T11" t="s">
        <v>26</v>
      </c>
    </row>
    <row r="12" ht="25.5" customHeight="1" spans="1:20">
      <c r="D12" s="7"/>
      <c r="H12" s="7"/>
      <c r="L12" s="7"/>
      <c r="P12" s="7"/>
      <c r="R12" s="2" t="s">
        <v>27</v>
      </c>
      <c r="S12" s="8">
        <v>0</v>
      </c>
      <c r="T12" t="s">
        <v>27</v>
      </c>
    </row>
    <row r="13" ht="18.75" customHeight="1" spans="1:20">
      <c r="A13" s="13">
        <f>$S$9-$S$10</f>
        <v>0.051506349209357</v>
      </c>
      <c r="D13" s="7"/>
      <c r="E13" s="13">
        <f>$S$11-$S$12</f>
        <v>0</v>
      </c>
      <c r="H13" s="7"/>
      <c r="I13" s="13">
        <f>$S$13-$S$14</f>
        <v>0</v>
      </c>
      <c r="L13" s="7"/>
      <c r="M13" s="13">
        <f>IFERROR($S$15/$S$1-1,0)</f>
        <v>1.58333333333334</v>
      </c>
      <c r="P13" s="7"/>
      <c r="R13" s="2" t="s">
        <v>28</v>
      </c>
      <c r="S13" s="8">
        <v>0</v>
      </c>
      <c r="T13" t="s">
        <v>28</v>
      </c>
    </row>
    <row r="14" ht="15" customHeight="1" spans="1:20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R14" s="2" t="s">
        <v>29</v>
      </c>
      <c r="S14" s="8">
        <v>0</v>
      </c>
      <c r="T14" t="s">
        <v>29</v>
      </c>
    </row>
    <row r="15" ht="21.75" customHeight="1" spans="1:20">
      <c r="A15" s="51" t="s">
        <v>116</v>
      </c>
      <c r="R15" s="2" t="s">
        <v>31</v>
      </c>
      <c r="S15" s="3">
        <v>299808522.666667</v>
      </c>
      <c r="T15" t="s">
        <v>31</v>
      </c>
    </row>
    <row r="16" ht="15" customHeight="1" spans="1:20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R16" s="2" t="s">
        <v>32</v>
      </c>
      <c r="S16" s="3">
        <v>140514688.150833</v>
      </c>
      <c r="T16" t="s">
        <v>32</v>
      </c>
    </row>
    <row r="17" ht="15" customHeight="1" spans="1:20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R17" s="2" t="s">
        <v>33</v>
      </c>
      <c r="S17" s="3">
        <v>148829628.07</v>
      </c>
      <c r="T17" t="s">
        <v>33</v>
      </c>
    </row>
    <row r="18" ht="15" customHeight="1" spans="1:20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R18" s="2" t="s">
        <v>34</v>
      </c>
      <c r="S18" s="3">
        <v>41932794.45</v>
      </c>
      <c r="T18" t="s">
        <v>34</v>
      </c>
    </row>
    <row r="19" ht="15" customHeight="1" spans="1:20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R19" s="2" t="s">
        <v>35</v>
      </c>
      <c r="S19" s="3">
        <v>52136247</v>
      </c>
      <c r="T19" t="s">
        <v>35</v>
      </c>
    </row>
    <row r="20" ht="15" customHeight="1" spans="1: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R20" s="2" t="s">
        <v>37</v>
      </c>
      <c r="S20" s="3">
        <v>65350416</v>
      </c>
      <c r="T20" t="s">
        <v>37</v>
      </c>
    </row>
    <row r="21" ht="15" customHeight="1" spans="1:20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R21" s="2" t="s">
        <v>36</v>
      </c>
      <c r="S21" s="3">
        <v>29211457.75</v>
      </c>
      <c r="T21" t="s">
        <v>36</v>
      </c>
    </row>
    <row r="22" ht="15" customHeight="1" spans="1:20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R22" s="2" t="s">
        <v>38</v>
      </c>
      <c r="S22" s="3">
        <v>25866277.92</v>
      </c>
      <c r="T22" t="s">
        <v>38</v>
      </c>
    </row>
    <row r="23" ht="15" customHeight="1" spans="1:20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R23" s="2" t="s">
        <v>39</v>
      </c>
      <c r="S23" s="8">
        <v>0.560290765654843</v>
      </c>
      <c r="T23" t="s">
        <v>39</v>
      </c>
    </row>
    <row r="24" ht="15" customHeight="1" spans="1:20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R24" s="2" t="s">
        <v>40</v>
      </c>
      <c r="S24" s="8">
        <v>0.39580892522551</v>
      </c>
      <c r="T24" t="s">
        <v>40</v>
      </c>
    </row>
    <row r="25" ht="15" customHeight="1" spans="1:20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</row>
    <row r="26" ht="15" customHeight="1" spans="1:20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</row>
    <row r="27" ht="15" customHeight="1" spans="1:20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</row>
    <row r="28" ht="15" customHeight="1" spans="1:20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</row>
    <row r="29" ht="15" customHeight="1" spans="1:20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</row>
    <row r="30" ht="15" customHeight="1" spans="1:2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R30" s="2" t="s">
        <v>117</v>
      </c>
      <c r="S30" s="2" t="s">
        <v>118</v>
      </c>
      <c r="T30" s="2" t="s">
        <v>119</v>
      </c>
    </row>
    <row r="31" ht="15" customHeight="1" spans="1:20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R31" s="2" t="s">
        <v>75</v>
      </c>
      <c r="S31" s="3">
        <v>17408236.8</v>
      </c>
      <c r="T31" s="3">
        <v>0.15</v>
      </c>
    </row>
    <row r="32" ht="15" customHeight="1" spans="1:20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R32" s="2" t="s">
        <v>79</v>
      </c>
      <c r="S32" s="3">
        <v>2321098.24</v>
      </c>
      <c r="T32" s="3">
        <v>0.02</v>
      </c>
    </row>
    <row r="33" ht="15" customHeight="1" spans="1:20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R33" s="2" t="s">
        <v>77</v>
      </c>
      <c r="S33" s="3">
        <v>0</v>
      </c>
      <c r="T33" s="3">
        <v>0</v>
      </c>
    </row>
    <row r="34" ht="15" customHeight="1" spans="1:20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R34" s="2" t="s">
        <v>81</v>
      </c>
      <c r="S34" s="3">
        <v>0</v>
      </c>
      <c r="T34" s="3">
        <v>0</v>
      </c>
    </row>
    <row r="35" ht="15" customHeight="1" spans="1:20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R35" s="2" t="s">
        <v>83</v>
      </c>
      <c r="S35" s="3">
        <v>0</v>
      </c>
      <c r="T35" s="3">
        <v>0</v>
      </c>
    </row>
    <row r="36" ht="15" customHeight="1" spans="1:20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R36" s="2" t="s">
        <v>71</v>
      </c>
      <c r="S36" s="3">
        <v>0</v>
      </c>
      <c r="T36" s="3">
        <v>0</v>
      </c>
    </row>
    <row r="37" ht="15" customHeight="1" spans="1:20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R37" s="2" t="s">
        <v>73</v>
      </c>
      <c r="S37" s="3">
        <v>0</v>
      </c>
      <c r="T37" s="3">
        <v>0</v>
      </c>
    </row>
    <row r="38" ht="15" customHeight="1" spans="1:20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</row>
    <row r="39" ht="15" customHeight="1" spans="1:20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</row>
    <row r="40" ht="15" customHeight="1" spans="1:2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</row>
    <row r="41" ht="15" customHeight="1" spans="1:20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</row>
    <row r="42" ht="15" customHeight="1" spans="1:20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</row>
    <row r="43" ht="15" customHeight="1" spans="1:20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</row>
    <row r="44" ht="15" customHeight="1" spans="1:20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</row>
    <row r="45" ht="15" customHeight="1" spans="1:20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</row>
    <row r="46" ht="15" customHeight="1" spans="1:20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</row>
    <row r="47" ht="15" customHeight="1" spans="1:20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</row>
    <row r="48" ht="15" customHeight="1" spans="1:20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</row>
    <row r="49" ht="15" customHeight="1" spans="1:16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</row>
    <row r="50" ht="21.75" customHeight="1" spans="1:16">
      <c r="A50" s="51" t="s">
        <v>120</v>
      </c>
    </row>
    <row r="51" ht="24" customHeight="1" spans="1:16">
      <c r="A51" s="16" t="s">
        <v>121</v>
      </c>
      <c r="B51" s="16" t="s">
        <v>122</v>
      </c>
      <c r="C51" s="16" t="s">
        <v>69</v>
      </c>
      <c r="D51" s="16" t="s">
        <v>123</v>
      </c>
      <c r="E51" s="16" t="s">
        <v>69</v>
      </c>
      <c r="F51" s="16" t="s">
        <v>124</v>
      </c>
      <c r="G51" s="16" t="s">
        <v>125</v>
      </c>
      <c r="H51" s="7"/>
      <c r="I51" s="17" t="s">
        <v>126</v>
      </c>
    </row>
    <row r="52" ht="22.5" customHeight="1" spans="1:16">
      <c r="A52" s="18" t="s">
        <v>127</v>
      </c>
      <c r="B52" s="19">
        <v>148829628.07</v>
      </c>
      <c r="C52" s="20">
        <f t="shared" ref="C52:C62" si="0">IFERROR(B52/$B$53,0)</f>
        <v>1.28240697015909</v>
      </c>
      <c r="D52" s="19">
        <v>50299999.35</v>
      </c>
      <c r="E52" s="20">
        <f t="shared" ref="E52:E62" si="1">IFERROR(D52/$D$53,0)</f>
        <v>0.964779826787302</v>
      </c>
      <c r="F52" s="20">
        <v>-0.705399133085184</v>
      </c>
      <c r="G52" s="20">
        <v>-0.4984905992605</v>
      </c>
      <c r="H52" s="7"/>
      <c r="I52" s="21" t="s">
        <v>197</v>
      </c>
    </row>
    <row r="53" ht="22.5" customHeight="1" spans="1:16">
      <c r="A53" s="18" t="s">
        <v>94</v>
      </c>
      <c r="B53" s="19">
        <v>116054912</v>
      </c>
      <c r="C53" s="20">
        <f t="shared" si="0"/>
        <v>1</v>
      </c>
      <c r="D53" s="19">
        <v>52136247</v>
      </c>
      <c r="E53" s="20">
        <f t="shared" si="1"/>
        <v>1</v>
      </c>
      <c r="F53" s="20">
        <v>-0.682749992669115</v>
      </c>
      <c r="G53" s="20">
        <v>-0.202204818405441</v>
      </c>
      <c r="H53" s="7"/>
      <c r="I53" s="21" t="s">
        <v>198</v>
      </c>
    </row>
    <row r="54" ht="22.5" customHeight="1" spans="1:16">
      <c r="A54" s="18" t="s">
        <v>130</v>
      </c>
      <c r="B54" s="19">
        <v>-41932794.45</v>
      </c>
      <c r="C54" s="20">
        <f t="shared" si="0"/>
        <v>-0.361318566593717</v>
      </c>
      <c r="D54" s="19">
        <v>-14061627.26</v>
      </c>
      <c r="E54" s="20">
        <f t="shared" si="1"/>
        <v>-0.269709234345157</v>
      </c>
      <c r="F54" s="20">
        <v>0</v>
      </c>
      <c r="G54" s="20">
        <v>0</v>
      </c>
      <c r="H54" s="7"/>
      <c r="I54" s="21" t="s">
        <v>199</v>
      </c>
    </row>
    <row r="55" ht="22.5" customHeight="1" spans="1:16">
      <c r="A55" s="18" t="s">
        <v>132</v>
      </c>
      <c r="B55" s="19">
        <v>74122117.55</v>
      </c>
      <c r="C55" s="20">
        <f t="shared" si="0"/>
        <v>0.638681433406283</v>
      </c>
      <c r="D55" s="19">
        <v>38074619.74</v>
      </c>
      <c r="E55" s="20">
        <f t="shared" si="1"/>
        <v>0.730290765654843</v>
      </c>
      <c r="F55" s="20">
        <v>0</v>
      </c>
      <c r="G55" s="20">
        <v>0</v>
      </c>
      <c r="H55" s="7"/>
      <c r="I55" s="21" t="s">
        <v>200</v>
      </c>
    </row>
    <row r="56" ht="22.5" customHeight="1" spans="1:16">
      <c r="A56" s="18" t="s">
        <v>134</v>
      </c>
      <c r="B56" s="19">
        <v>0</v>
      </c>
      <c r="C56" s="20">
        <f t="shared" si="0"/>
        <v>0</v>
      </c>
      <c r="D56" s="19">
        <v>0</v>
      </c>
      <c r="E56" s="20">
        <f t="shared" si="1"/>
        <v>0</v>
      </c>
      <c r="F56" s="20">
        <v>0</v>
      </c>
      <c r="G56" s="20">
        <v>0</v>
      </c>
      <c r="H56" s="7"/>
      <c r="I56" s="21" t="s">
        <v>135</v>
      </c>
    </row>
    <row r="57" ht="21" customHeight="1" spans="1:16">
      <c r="A57" s="18" t="s">
        <v>136</v>
      </c>
      <c r="B57" s="19">
        <v>-2321098.24</v>
      </c>
      <c r="C57" s="20">
        <f t="shared" si="0"/>
        <v>-0.02</v>
      </c>
      <c r="D57" s="19">
        <v>-1042724.94</v>
      </c>
      <c r="E57" s="20">
        <f t="shared" si="1"/>
        <v>-0.02</v>
      </c>
      <c r="F57" s="20">
        <v>0</v>
      </c>
      <c r="G57" s="20">
        <v>0</v>
      </c>
      <c r="H57" s="7"/>
      <c r="I57" s="22" t="s">
        <v>137</v>
      </c>
      <c r="J57" s="23"/>
      <c r="K57" s="23"/>
      <c r="L57" s="23"/>
      <c r="M57" s="23"/>
      <c r="N57" s="23"/>
      <c r="O57" s="23"/>
      <c r="P57" s="24"/>
    </row>
    <row r="58" ht="18.75" customHeight="1" spans="1:16">
      <c r="A58" s="18" t="s">
        <v>138</v>
      </c>
      <c r="B58" s="19">
        <v>-17408236.8</v>
      </c>
      <c r="C58" s="20">
        <f t="shared" si="0"/>
        <v>-0.15</v>
      </c>
      <c r="D58" s="19">
        <v>-7820437.05</v>
      </c>
      <c r="E58" s="20">
        <f t="shared" si="1"/>
        <v>-0.15</v>
      </c>
      <c r="F58" s="20">
        <v>0</v>
      </c>
      <c r="G58" s="20">
        <v>0</v>
      </c>
      <c r="H58" s="7"/>
      <c r="I58" s="25" t="s">
        <v>67</v>
      </c>
      <c r="J58" s="24"/>
      <c r="K58" s="26" t="s">
        <v>68</v>
      </c>
      <c r="L58" s="24"/>
      <c r="M58" s="27" t="s">
        <v>139</v>
      </c>
      <c r="N58" s="24"/>
      <c r="O58" s="25" t="s">
        <v>140</v>
      </c>
      <c r="P58" s="24"/>
    </row>
    <row r="59" ht="18.75" customHeight="1" spans="1:16">
      <c r="A59" s="18" t="s">
        <v>141</v>
      </c>
      <c r="B59" s="19">
        <v>0</v>
      </c>
      <c r="C59" s="20">
        <f t="shared" si="0"/>
        <v>0</v>
      </c>
      <c r="D59" s="19">
        <v>0</v>
      </c>
      <c r="E59" s="20">
        <f t="shared" si="1"/>
        <v>0</v>
      </c>
      <c r="F59" s="20">
        <v>0</v>
      </c>
      <c r="G59" s="20">
        <v>0</v>
      </c>
      <c r="H59" s="7"/>
      <c r="I59" s="28" t="s">
        <v>138</v>
      </c>
      <c r="J59" s="24"/>
      <c r="K59" s="29">
        <v>17408236.8</v>
      </c>
      <c r="L59" s="24"/>
      <c r="M59" s="30">
        <v>0.15</v>
      </c>
      <c r="N59" s="24"/>
      <c r="O59" s="28" t="s">
        <v>142</v>
      </c>
      <c r="P59" s="24"/>
    </row>
    <row r="60" ht="18.75" customHeight="1" spans="1:16">
      <c r="A60" s="18" t="s">
        <v>143</v>
      </c>
      <c r="B60" s="19">
        <v>0</v>
      </c>
      <c r="C60" s="20">
        <f t="shared" si="0"/>
        <v>0</v>
      </c>
      <c r="D60" s="19">
        <v>0</v>
      </c>
      <c r="E60" s="20">
        <f t="shared" si="1"/>
        <v>0</v>
      </c>
      <c r="F60" s="20">
        <v>0</v>
      </c>
      <c r="G60" s="20">
        <v>0</v>
      </c>
      <c r="H60" s="7"/>
      <c r="I60" s="28" t="s">
        <v>136</v>
      </c>
      <c r="J60" s="24"/>
      <c r="K60" s="29">
        <v>2321098.24</v>
      </c>
      <c r="L60" s="24"/>
      <c r="M60" s="30">
        <v>0.02</v>
      </c>
      <c r="N60" s="24"/>
      <c r="O60" s="28" t="s">
        <v>144</v>
      </c>
      <c r="P60" s="24"/>
    </row>
    <row r="61" ht="18.75" customHeight="1" spans="1:16">
      <c r="A61" s="18" t="s">
        <v>145</v>
      </c>
      <c r="B61" s="19">
        <v>0</v>
      </c>
      <c r="C61" s="20">
        <f t="shared" si="0"/>
        <v>0</v>
      </c>
      <c r="D61" s="19">
        <v>0</v>
      </c>
      <c r="E61" s="20">
        <f t="shared" si="1"/>
        <v>0</v>
      </c>
      <c r="F61" s="20">
        <v>0</v>
      </c>
      <c r="G61" s="20">
        <v>0</v>
      </c>
      <c r="H61" s="7"/>
      <c r="I61" s="28" t="s">
        <v>145</v>
      </c>
      <c r="J61" s="24"/>
      <c r="K61" s="29">
        <v>0</v>
      </c>
      <c r="L61" s="24"/>
      <c r="M61" s="30">
        <v>0</v>
      </c>
      <c r="N61" s="24"/>
      <c r="O61" s="28" t="s">
        <v>144</v>
      </c>
      <c r="P61" s="24"/>
    </row>
    <row r="62" ht="18.75" customHeight="1" spans="1:16">
      <c r="A62" s="31" t="s">
        <v>45</v>
      </c>
      <c r="B62" s="32">
        <v>54392782.51</v>
      </c>
      <c r="C62" s="33">
        <f t="shared" si="0"/>
        <v>0.468681433406283</v>
      </c>
      <c r="D62" s="32">
        <v>29211457.75</v>
      </c>
      <c r="E62" s="33">
        <f t="shared" si="1"/>
        <v>0.560290765654843</v>
      </c>
      <c r="F62" s="33">
        <v>-0.643580851741844</v>
      </c>
      <c r="G62" s="33">
        <v>0.129325906121711</v>
      </c>
      <c r="H62" s="7"/>
      <c r="I62" s="28" t="s">
        <v>147</v>
      </c>
      <c r="J62" s="24"/>
      <c r="K62" s="29">
        <v>0</v>
      </c>
      <c r="L62" s="24"/>
      <c r="M62" s="30">
        <v>0</v>
      </c>
      <c r="N62" s="24"/>
      <c r="O62" s="28" t="s">
        <v>144</v>
      </c>
      <c r="P62" s="24"/>
    </row>
    <row r="63" ht="19.5" customHeight="1" spans="1:16">
      <c r="A63" s="22" t="s">
        <v>146</v>
      </c>
      <c r="B63" s="23"/>
      <c r="C63" s="23"/>
      <c r="D63" s="23"/>
      <c r="E63" s="23"/>
      <c r="F63" s="23"/>
      <c r="G63" s="24"/>
      <c r="H63" s="7"/>
      <c r="I63" s="28" t="s">
        <v>158</v>
      </c>
      <c r="J63" s="24"/>
      <c r="K63" s="29">
        <v>0</v>
      </c>
      <c r="L63" s="24"/>
      <c r="M63" s="30">
        <v>0</v>
      </c>
      <c r="N63" s="24"/>
      <c r="O63" s="28" t="s">
        <v>144</v>
      </c>
      <c r="P63" s="24"/>
    </row>
    <row r="64" ht="19.5" customHeight="1" spans="1:16">
      <c r="A64" s="25" t="s">
        <v>67</v>
      </c>
      <c r="B64" s="24"/>
      <c r="C64" s="25" t="s">
        <v>122</v>
      </c>
      <c r="D64" s="24"/>
      <c r="E64" s="27" t="s">
        <v>139</v>
      </c>
      <c r="F64" s="25" t="s">
        <v>123</v>
      </c>
      <c r="G64" s="25" t="s">
        <v>140</v>
      </c>
      <c r="H64" s="7"/>
      <c r="I64" s="34" t="s">
        <v>148</v>
      </c>
      <c r="J64" s="24"/>
      <c r="K64" s="35">
        <v>19729335.04</v>
      </c>
      <c r="L64" s="24"/>
      <c r="M64" s="36">
        <f>IFERROR(K64/$B$53,0)</f>
        <v>0.17</v>
      </c>
      <c r="N64" s="24"/>
      <c r="O64" s="34" t="s">
        <v>149</v>
      </c>
      <c r="P64" s="24"/>
    </row>
    <row r="65" ht="19.5" customHeight="1" spans="1:17">
      <c r="A65" s="28" t="s">
        <v>138</v>
      </c>
      <c r="B65" s="24"/>
      <c r="C65" s="29">
        <v>17408237</v>
      </c>
      <c r="D65" s="24"/>
      <c r="E65" s="30">
        <v>0.15</v>
      </c>
      <c r="F65" s="37">
        <v>7820437</v>
      </c>
      <c r="G65" s="28" t="s">
        <v>142</v>
      </c>
      <c r="H65" s="7"/>
      <c r="I65" s="7"/>
      <c r="J65" s="7"/>
      <c r="K65" s="7"/>
      <c r="L65" s="7"/>
      <c r="M65" s="7"/>
      <c r="N65" s="7"/>
      <c r="O65" s="7"/>
      <c r="P65" s="7"/>
    </row>
    <row r="66" ht="19.5" customHeight="1" spans="1:17">
      <c r="A66" s="28" t="s">
        <v>136</v>
      </c>
      <c r="B66" s="24"/>
      <c r="C66" s="29">
        <v>2321098</v>
      </c>
      <c r="D66" s="24"/>
      <c r="E66" s="30">
        <v>0.02</v>
      </c>
      <c r="F66" s="37">
        <v>1042725</v>
      </c>
      <c r="G66" s="28" t="s">
        <v>144</v>
      </c>
      <c r="H66" s="7"/>
      <c r="I66" s="7"/>
      <c r="J66" s="7"/>
      <c r="K66" s="7"/>
      <c r="L66" s="7"/>
      <c r="M66" s="7"/>
      <c r="N66" s="7"/>
      <c r="O66" s="7"/>
      <c r="P66" s="7"/>
    </row>
    <row r="67" ht="19.5" customHeight="1" spans="1:17">
      <c r="A67" s="28" t="s">
        <v>145</v>
      </c>
      <c r="B67" s="24"/>
      <c r="C67" s="29">
        <v>0</v>
      </c>
      <c r="D67" s="24"/>
      <c r="E67" s="30">
        <v>0</v>
      </c>
      <c r="F67" s="37">
        <v>0</v>
      </c>
      <c r="G67" s="28" t="s">
        <v>144</v>
      </c>
      <c r="H67" s="7"/>
      <c r="I67" s="7"/>
      <c r="J67" s="7"/>
      <c r="K67" s="7"/>
      <c r="L67" s="7"/>
      <c r="M67" s="7"/>
      <c r="N67" s="7"/>
      <c r="O67" s="7"/>
      <c r="P67" s="7"/>
    </row>
    <row r="68" ht="21.75" customHeight="1" spans="1:17">
      <c r="A68" s="51" t="s">
        <v>150</v>
      </c>
    </row>
    <row r="69" ht="30" customHeight="1" spans="1:17">
      <c r="A69" s="16" t="s">
        <v>62</v>
      </c>
      <c r="B69" s="38" t="s">
        <v>151</v>
      </c>
      <c r="C69" s="38" t="s">
        <v>152</v>
      </c>
      <c r="D69" s="38" t="s">
        <v>153</v>
      </c>
      <c r="E69" s="38" t="s">
        <v>154</v>
      </c>
      <c r="F69" s="39" t="s">
        <v>155</v>
      </c>
      <c r="G69" s="38" t="s">
        <v>130</v>
      </c>
      <c r="H69" s="38" t="s">
        <v>134</v>
      </c>
      <c r="I69" s="38" t="s">
        <v>156</v>
      </c>
      <c r="J69" s="38" t="s">
        <v>138</v>
      </c>
      <c r="K69" s="38" t="s">
        <v>157</v>
      </c>
      <c r="L69" s="38" t="s">
        <v>147</v>
      </c>
      <c r="M69" s="38" t="s">
        <v>158</v>
      </c>
      <c r="N69" s="38" t="s">
        <v>145</v>
      </c>
      <c r="O69" s="38" t="s">
        <v>159</v>
      </c>
      <c r="P69" s="38" t="s">
        <v>45</v>
      </c>
      <c r="Q69" s="39" t="s">
        <v>46</v>
      </c>
    </row>
    <row r="70" ht="18.75" customHeight="1" spans="1:17">
      <c r="A70" s="40" t="s">
        <v>70</v>
      </c>
      <c r="B70" s="19">
        <v>1324999.98</v>
      </c>
      <c r="C70" s="19">
        <v>930150</v>
      </c>
      <c r="D70" s="19">
        <v>0</v>
      </c>
      <c r="E70" s="19">
        <v>1</v>
      </c>
      <c r="F70" s="20">
        <v>0</v>
      </c>
      <c r="G70" s="19">
        <v>363656.88</v>
      </c>
      <c r="H70" s="19">
        <v>0</v>
      </c>
      <c r="I70" s="19">
        <v>18603</v>
      </c>
      <c r="J70" s="19">
        <v>139522.5</v>
      </c>
      <c r="K70" s="19">
        <v>0</v>
      </c>
      <c r="L70" s="19">
        <v>0</v>
      </c>
      <c r="M70" s="19">
        <v>0</v>
      </c>
      <c r="N70" s="19">
        <v>0</v>
      </c>
      <c r="O70" s="19">
        <f t="shared" ref="O70:O81" si="2">SUM(G70:N70)</f>
        <v>521782.38</v>
      </c>
      <c r="P70" s="19">
        <v>408367.62</v>
      </c>
      <c r="Q70" s="41">
        <f t="shared" ref="Q70:Q81" si="3">IFERROR(P70/C70,0)</f>
        <v>0.439034155781326</v>
      </c>
    </row>
    <row r="71" ht="18.75" customHeight="1" spans="1:17">
      <c r="A71" s="40" t="s">
        <v>72</v>
      </c>
      <c r="B71" s="19">
        <v>97204628.74</v>
      </c>
      <c r="C71" s="19">
        <v>62988515</v>
      </c>
      <c r="D71" s="19">
        <v>7391800</v>
      </c>
      <c r="E71" s="19">
        <v>2</v>
      </c>
      <c r="F71" s="20">
        <v>0</v>
      </c>
      <c r="G71" s="19">
        <v>27507510.31</v>
      </c>
      <c r="H71" s="19">
        <v>0</v>
      </c>
      <c r="I71" s="19">
        <v>1259770.3</v>
      </c>
      <c r="J71" s="19">
        <v>9448277.25</v>
      </c>
      <c r="K71" s="19">
        <v>0</v>
      </c>
      <c r="L71" s="19">
        <v>0</v>
      </c>
      <c r="M71" s="19">
        <v>0</v>
      </c>
      <c r="N71" s="19">
        <v>0</v>
      </c>
      <c r="O71" s="19">
        <f t="shared" si="2"/>
        <v>38215557.86</v>
      </c>
      <c r="P71" s="19">
        <v>24772957.14</v>
      </c>
      <c r="Q71" s="41">
        <f t="shared" si="3"/>
        <v>0.393293239886668</v>
      </c>
    </row>
    <row r="72" ht="18.75" customHeight="1" spans="1:17">
      <c r="A72" s="40" t="s">
        <v>74</v>
      </c>
      <c r="B72" s="19">
        <v>0</v>
      </c>
      <c r="C72" s="19">
        <v>0</v>
      </c>
      <c r="D72" s="19">
        <v>305355043</v>
      </c>
      <c r="E72" s="19">
        <v>0</v>
      </c>
      <c r="F72" s="20">
        <v>0</v>
      </c>
      <c r="G72" s="19">
        <v>0</v>
      </c>
      <c r="H72" s="19">
        <v>0</v>
      </c>
      <c r="I72" s="19">
        <v>0</v>
      </c>
      <c r="J72" s="19">
        <v>0</v>
      </c>
      <c r="K72" s="19">
        <v>0</v>
      </c>
      <c r="L72" s="19">
        <v>0</v>
      </c>
      <c r="M72" s="19">
        <v>0</v>
      </c>
      <c r="N72" s="19">
        <v>0</v>
      </c>
      <c r="O72" s="19">
        <f t="shared" si="2"/>
        <v>0</v>
      </c>
      <c r="P72" s="19">
        <v>0</v>
      </c>
      <c r="Q72" s="41">
        <f t="shared" si="3"/>
        <v>0</v>
      </c>
    </row>
    <row r="73" ht="18.75" customHeight="1" spans="1:17">
      <c r="A73" s="40" t="s">
        <v>76</v>
      </c>
      <c r="B73" s="19">
        <v>0</v>
      </c>
      <c r="C73" s="19">
        <v>0</v>
      </c>
      <c r="D73" s="19">
        <v>250599</v>
      </c>
      <c r="E73" s="19">
        <v>0</v>
      </c>
      <c r="F73" s="20">
        <v>0</v>
      </c>
      <c r="G73" s="19">
        <v>0</v>
      </c>
      <c r="H73" s="19">
        <v>0</v>
      </c>
      <c r="I73" s="19">
        <v>0</v>
      </c>
      <c r="J73" s="19">
        <v>0</v>
      </c>
      <c r="K73" s="19">
        <v>0</v>
      </c>
      <c r="L73" s="19">
        <v>0</v>
      </c>
      <c r="M73" s="19">
        <v>0</v>
      </c>
      <c r="N73" s="19">
        <v>0</v>
      </c>
      <c r="O73" s="19">
        <f t="shared" si="2"/>
        <v>0</v>
      </c>
      <c r="P73" s="19">
        <v>0</v>
      </c>
      <c r="Q73" s="41">
        <f t="shared" si="3"/>
        <v>0</v>
      </c>
    </row>
    <row r="74" ht="18.75" customHeight="1" spans="1:17">
      <c r="A74" s="40" t="s">
        <v>78</v>
      </c>
      <c r="B74" s="19">
        <v>0</v>
      </c>
      <c r="C74" s="19">
        <v>0</v>
      </c>
      <c r="D74" s="19">
        <v>41623758</v>
      </c>
      <c r="E74" s="19">
        <v>0</v>
      </c>
      <c r="F74" s="20">
        <v>0</v>
      </c>
      <c r="G74" s="19">
        <v>0</v>
      </c>
      <c r="H74" s="19">
        <v>0</v>
      </c>
      <c r="I74" s="19">
        <v>0</v>
      </c>
      <c r="J74" s="19">
        <v>0</v>
      </c>
      <c r="K74" s="19">
        <v>0</v>
      </c>
      <c r="L74" s="19">
        <v>0</v>
      </c>
      <c r="M74" s="19">
        <v>0</v>
      </c>
      <c r="N74" s="19">
        <v>0</v>
      </c>
      <c r="O74" s="19">
        <f t="shared" si="2"/>
        <v>0</v>
      </c>
      <c r="P74" s="19">
        <v>0</v>
      </c>
      <c r="Q74" s="41">
        <f t="shared" si="3"/>
        <v>0</v>
      </c>
    </row>
    <row r="75" ht="18.75" customHeight="1" spans="1:17">
      <c r="A75" s="40" t="s">
        <v>80</v>
      </c>
      <c r="B75" s="19">
        <v>50299999.35</v>
      </c>
      <c r="C75" s="19">
        <v>52136247</v>
      </c>
      <c r="D75" s="19">
        <v>0</v>
      </c>
      <c r="E75" s="19">
        <v>2</v>
      </c>
      <c r="F75" s="20">
        <v>0</v>
      </c>
      <c r="G75" s="19">
        <v>14061627.26</v>
      </c>
      <c r="H75" s="19">
        <v>0</v>
      </c>
      <c r="I75" s="19">
        <v>1042724.94</v>
      </c>
      <c r="J75" s="19">
        <v>7820437.05</v>
      </c>
      <c r="K75" s="19">
        <v>0</v>
      </c>
      <c r="L75" s="19">
        <v>0</v>
      </c>
      <c r="M75" s="19">
        <v>0</v>
      </c>
      <c r="N75" s="19">
        <v>0</v>
      </c>
      <c r="O75" s="19">
        <f t="shared" si="2"/>
        <v>22924789.25</v>
      </c>
      <c r="P75" s="19">
        <v>29211457.75</v>
      </c>
      <c r="Q75" s="41">
        <f t="shared" si="3"/>
        <v>0.560290765654843</v>
      </c>
    </row>
    <row r="76" ht="18.75" customHeight="1" spans="1:17">
      <c r="A76" s="40" t="s">
        <v>82</v>
      </c>
      <c r="B76" s="19">
        <v>0</v>
      </c>
      <c r="C76" s="19">
        <v>0</v>
      </c>
      <c r="D76" s="19">
        <v>0</v>
      </c>
      <c r="E76" s="19">
        <v>0</v>
      </c>
      <c r="F76" s="20">
        <v>0</v>
      </c>
      <c r="G76" s="19">
        <v>0</v>
      </c>
      <c r="H76" s="19">
        <v>0</v>
      </c>
      <c r="I76" s="19">
        <v>0</v>
      </c>
      <c r="J76" s="19">
        <v>0</v>
      </c>
      <c r="K76" s="19">
        <v>0</v>
      </c>
      <c r="L76" s="19">
        <v>0</v>
      </c>
      <c r="M76" s="19">
        <v>0</v>
      </c>
      <c r="N76" s="19">
        <v>0</v>
      </c>
      <c r="O76" s="19">
        <f t="shared" si="2"/>
        <v>0</v>
      </c>
      <c r="P76" s="19">
        <v>0</v>
      </c>
      <c r="Q76" s="41">
        <f t="shared" si="3"/>
        <v>0</v>
      </c>
    </row>
    <row r="77" ht="18.75" customHeight="1" spans="1:17">
      <c r="A77" s="40" t="s">
        <v>84</v>
      </c>
      <c r="B77" s="19">
        <v>0</v>
      </c>
      <c r="C77" s="19">
        <v>0</v>
      </c>
      <c r="D77" s="19">
        <v>0</v>
      </c>
      <c r="E77" s="19">
        <v>0</v>
      </c>
      <c r="F77" s="20">
        <v>0</v>
      </c>
      <c r="G77" s="19">
        <v>0</v>
      </c>
      <c r="H77" s="19">
        <v>0</v>
      </c>
      <c r="I77" s="19">
        <v>0</v>
      </c>
      <c r="J77" s="19">
        <v>0</v>
      </c>
      <c r="K77" s="19">
        <v>0</v>
      </c>
      <c r="L77" s="19">
        <v>0</v>
      </c>
      <c r="M77" s="19">
        <v>0</v>
      </c>
      <c r="N77" s="19">
        <v>0</v>
      </c>
      <c r="O77" s="19">
        <f t="shared" si="2"/>
        <v>0</v>
      </c>
      <c r="P77" s="19">
        <v>0</v>
      </c>
      <c r="Q77" s="41">
        <f t="shared" si="3"/>
        <v>0</v>
      </c>
    </row>
    <row r="78" ht="18.75" customHeight="1" spans="1:17">
      <c r="A78" s="40" t="s">
        <v>85</v>
      </c>
      <c r="B78" s="19">
        <v>0</v>
      </c>
      <c r="C78" s="19">
        <v>0</v>
      </c>
      <c r="D78" s="19">
        <v>0</v>
      </c>
      <c r="E78" s="19">
        <v>0</v>
      </c>
      <c r="F78" s="20">
        <v>0</v>
      </c>
      <c r="G78" s="19">
        <v>0</v>
      </c>
      <c r="H78" s="19">
        <v>0</v>
      </c>
      <c r="I78" s="19">
        <v>0</v>
      </c>
      <c r="J78" s="19">
        <v>0</v>
      </c>
      <c r="K78" s="19">
        <v>0</v>
      </c>
      <c r="L78" s="19">
        <v>0</v>
      </c>
      <c r="M78" s="19">
        <v>0</v>
      </c>
      <c r="N78" s="19">
        <v>0</v>
      </c>
      <c r="O78" s="19">
        <f t="shared" si="2"/>
        <v>0</v>
      </c>
      <c r="P78" s="19">
        <v>0</v>
      </c>
      <c r="Q78" s="41">
        <f t="shared" si="3"/>
        <v>0</v>
      </c>
    </row>
    <row r="79" ht="18.75" customHeight="1" spans="1:17">
      <c r="A79" s="40" t="s">
        <v>86</v>
      </c>
      <c r="B79" s="19">
        <v>0</v>
      </c>
      <c r="C79" s="19">
        <v>0</v>
      </c>
      <c r="D79" s="19">
        <v>11194117</v>
      </c>
      <c r="E79" s="19">
        <v>0</v>
      </c>
      <c r="F79" s="20">
        <v>0</v>
      </c>
      <c r="G79" s="19">
        <v>0</v>
      </c>
      <c r="H79" s="19">
        <v>0</v>
      </c>
      <c r="I79" s="19">
        <v>0</v>
      </c>
      <c r="J79" s="19">
        <v>0</v>
      </c>
      <c r="K79" s="19">
        <v>0</v>
      </c>
      <c r="L79" s="19">
        <v>0</v>
      </c>
      <c r="M79" s="19">
        <v>0</v>
      </c>
      <c r="N79" s="19">
        <v>0</v>
      </c>
      <c r="O79" s="19">
        <f t="shared" si="2"/>
        <v>0</v>
      </c>
      <c r="P79" s="19">
        <v>0</v>
      </c>
      <c r="Q79" s="41">
        <f t="shared" si="3"/>
        <v>0</v>
      </c>
    </row>
    <row r="80" ht="18.75" customHeight="1" spans="1:17">
      <c r="A80" s="40" t="s">
        <v>87</v>
      </c>
      <c r="B80" s="19">
        <v>0</v>
      </c>
      <c r="C80" s="19">
        <v>0</v>
      </c>
      <c r="D80" s="19">
        <v>0</v>
      </c>
      <c r="E80" s="19">
        <v>0</v>
      </c>
      <c r="F80" s="20">
        <v>0</v>
      </c>
      <c r="G80" s="19">
        <v>0</v>
      </c>
      <c r="H80" s="19">
        <v>0</v>
      </c>
      <c r="I80" s="19">
        <v>0</v>
      </c>
      <c r="J80" s="19">
        <v>0</v>
      </c>
      <c r="K80" s="19">
        <v>0</v>
      </c>
      <c r="L80" s="19">
        <v>0</v>
      </c>
      <c r="M80" s="19">
        <v>0</v>
      </c>
      <c r="N80" s="19">
        <v>0</v>
      </c>
      <c r="O80" s="19">
        <f t="shared" si="2"/>
        <v>0</v>
      </c>
      <c r="P80" s="19">
        <v>0</v>
      </c>
      <c r="Q80" s="41">
        <f t="shared" si="3"/>
        <v>0</v>
      </c>
    </row>
    <row r="81" ht="18.75" customHeight="1" spans="1:17">
      <c r="A81" s="40" t="s">
        <v>88</v>
      </c>
      <c r="B81" s="19">
        <v>0</v>
      </c>
      <c r="C81" s="19">
        <v>0</v>
      </c>
      <c r="D81" s="19">
        <v>0</v>
      </c>
      <c r="E81" s="19">
        <v>0</v>
      </c>
      <c r="F81" s="20">
        <v>0</v>
      </c>
      <c r="G81" s="19">
        <v>0</v>
      </c>
      <c r="H81" s="19">
        <v>0</v>
      </c>
      <c r="I81" s="19">
        <v>0</v>
      </c>
      <c r="J81" s="19">
        <v>0</v>
      </c>
      <c r="K81" s="19">
        <v>0</v>
      </c>
      <c r="L81" s="19">
        <v>0</v>
      </c>
      <c r="M81" s="19">
        <v>0</v>
      </c>
      <c r="N81" s="19">
        <v>0</v>
      </c>
      <c r="O81" s="19">
        <f t="shared" si="2"/>
        <v>0</v>
      </c>
      <c r="P81" s="19">
        <v>0</v>
      </c>
      <c r="Q81" s="41">
        <f t="shared" si="3"/>
        <v>0</v>
      </c>
    </row>
    <row r="82" ht="18.75" hidden="1" customHeight="1" spans="1:17">
      <c r="A82" s="40"/>
      <c r="B82" s="42"/>
      <c r="C82" s="42"/>
      <c r="D82" s="42"/>
      <c r="E82" s="43"/>
      <c r="F82" s="42"/>
      <c r="G82" s="42"/>
      <c r="H82" s="42"/>
      <c r="I82" s="42"/>
      <c r="J82" s="42"/>
      <c r="K82" s="42"/>
      <c r="L82" s="42"/>
      <c r="M82" s="42"/>
      <c r="N82" s="42"/>
      <c r="O82" s="43"/>
      <c r="P82" s="42"/>
    </row>
    <row r="83" ht="18.75" hidden="1" customHeight="1" spans="1:17">
      <c r="A83" s="40"/>
      <c r="B83" s="42"/>
      <c r="C83" s="42"/>
      <c r="D83" s="42"/>
      <c r="E83" s="43"/>
      <c r="F83" s="42"/>
      <c r="G83" s="42"/>
      <c r="H83" s="42"/>
      <c r="I83" s="42"/>
      <c r="J83" s="42"/>
      <c r="K83" s="42"/>
      <c r="L83" s="42"/>
      <c r="M83" s="42"/>
      <c r="N83" s="42"/>
      <c r="O83" s="43"/>
      <c r="P83" s="42"/>
    </row>
    <row r="84" ht="18.75" hidden="1" customHeight="1" spans="1:17">
      <c r="A84" s="40"/>
      <c r="B84" s="42"/>
      <c r="C84" s="42"/>
      <c r="D84" s="42"/>
      <c r="E84" s="43"/>
      <c r="F84" s="42"/>
      <c r="G84" s="42"/>
      <c r="H84" s="42"/>
      <c r="I84" s="42"/>
      <c r="J84" s="42"/>
      <c r="K84" s="42"/>
      <c r="L84" s="42"/>
      <c r="M84" s="42"/>
      <c r="N84" s="42"/>
      <c r="O84" s="43"/>
      <c r="P84" s="42"/>
    </row>
    <row r="85" ht="18.75" hidden="1" customHeight="1" spans="1:17">
      <c r="A85" s="40"/>
      <c r="B85" s="42"/>
      <c r="C85" s="42"/>
      <c r="D85" s="42"/>
      <c r="E85" s="43"/>
      <c r="F85" s="42"/>
      <c r="G85" s="42"/>
      <c r="H85" s="42"/>
      <c r="I85" s="42"/>
      <c r="J85" s="42"/>
      <c r="K85" s="42"/>
      <c r="L85" s="42"/>
      <c r="M85" s="42"/>
      <c r="N85" s="42"/>
      <c r="O85" s="43"/>
      <c r="P85" s="42"/>
    </row>
    <row r="86" ht="18.75" hidden="1" customHeight="1" spans="1:17">
      <c r="A86" s="40"/>
      <c r="B86" s="42"/>
      <c r="C86" s="42"/>
      <c r="D86" s="42"/>
      <c r="E86" s="43"/>
      <c r="F86" s="42"/>
      <c r="G86" s="42"/>
      <c r="H86" s="42"/>
      <c r="I86" s="42"/>
      <c r="J86" s="42"/>
      <c r="K86" s="42"/>
      <c r="L86" s="42"/>
      <c r="M86" s="42"/>
      <c r="N86" s="42"/>
      <c r="O86" s="43"/>
      <c r="P86" s="42"/>
    </row>
    <row r="87" ht="18.75" hidden="1" customHeight="1" spans="1:17">
      <c r="A87" s="40"/>
      <c r="B87" s="42"/>
      <c r="C87" s="42"/>
      <c r="D87" s="42"/>
      <c r="E87" s="43"/>
      <c r="F87" s="42"/>
      <c r="G87" s="42"/>
      <c r="H87" s="42"/>
      <c r="I87" s="42"/>
      <c r="J87" s="42"/>
      <c r="K87" s="42"/>
      <c r="L87" s="42"/>
      <c r="M87" s="42"/>
      <c r="N87" s="42"/>
      <c r="O87" s="43"/>
      <c r="P87" s="42"/>
    </row>
    <row r="88" ht="18.75" hidden="1" customHeight="1" spans="1:17">
      <c r="A88" s="40"/>
      <c r="B88" s="42"/>
      <c r="C88" s="42"/>
      <c r="D88" s="42"/>
      <c r="E88" s="43"/>
      <c r="F88" s="42"/>
      <c r="G88" s="42"/>
      <c r="H88" s="42"/>
      <c r="I88" s="42"/>
      <c r="J88" s="42"/>
      <c r="K88" s="42"/>
      <c r="L88" s="42"/>
      <c r="M88" s="42"/>
      <c r="N88" s="42"/>
      <c r="O88" s="43"/>
      <c r="P88" s="42"/>
    </row>
    <row r="89" ht="18.75" hidden="1" customHeight="1" spans="1:17">
      <c r="A89" s="40"/>
      <c r="B89" s="42"/>
      <c r="C89" s="42"/>
      <c r="D89" s="42"/>
      <c r="E89" s="43"/>
      <c r="F89" s="42"/>
      <c r="G89" s="42"/>
      <c r="H89" s="42"/>
      <c r="I89" s="42"/>
      <c r="J89" s="42"/>
      <c r="K89" s="42"/>
      <c r="L89" s="42"/>
      <c r="M89" s="42"/>
      <c r="N89" s="42"/>
      <c r="O89" s="43"/>
      <c r="P89" s="42"/>
    </row>
    <row r="90" ht="18.75" hidden="1" customHeight="1" spans="1:17">
      <c r="A90" s="40"/>
      <c r="B90" s="42"/>
      <c r="C90" s="42"/>
      <c r="D90" s="42"/>
      <c r="E90" s="43"/>
      <c r="F90" s="42"/>
      <c r="G90" s="42"/>
      <c r="H90" s="42"/>
      <c r="I90" s="42"/>
      <c r="J90" s="42"/>
      <c r="K90" s="42"/>
      <c r="L90" s="42"/>
      <c r="M90" s="42"/>
      <c r="N90" s="42"/>
      <c r="O90" s="43"/>
      <c r="P90" s="42"/>
    </row>
    <row r="91" ht="18.75" hidden="1" customHeight="1" spans="1:17">
      <c r="A91" s="40"/>
      <c r="B91" s="42"/>
      <c r="C91" s="42"/>
      <c r="D91" s="42"/>
      <c r="E91" s="43"/>
      <c r="F91" s="42"/>
      <c r="G91" s="42"/>
      <c r="H91" s="42"/>
      <c r="I91" s="42"/>
      <c r="J91" s="42"/>
      <c r="K91" s="42"/>
      <c r="L91" s="42"/>
      <c r="M91" s="42"/>
      <c r="N91" s="42"/>
      <c r="O91" s="43"/>
      <c r="P91" s="42"/>
    </row>
    <row r="92" ht="18.75" hidden="1" customHeight="1" spans="1:17">
      <c r="A92" s="40"/>
      <c r="B92" s="42"/>
      <c r="C92" s="42"/>
      <c r="D92" s="42"/>
      <c r="E92" s="43"/>
      <c r="F92" s="42"/>
      <c r="G92" s="42"/>
      <c r="H92" s="42"/>
      <c r="I92" s="42"/>
      <c r="J92" s="42"/>
      <c r="K92" s="42"/>
      <c r="L92" s="42"/>
      <c r="M92" s="42"/>
      <c r="N92" s="42"/>
      <c r="O92" s="43"/>
      <c r="P92" s="42"/>
    </row>
    <row r="93" ht="18.75" hidden="1" customHeight="1" spans="1:17">
      <c r="A93" s="40"/>
      <c r="B93" s="42"/>
      <c r="C93" s="42"/>
      <c r="D93" s="42"/>
      <c r="E93" s="43"/>
      <c r="F93" s="42"/>
      <c r="G93" s="42"/>
      <c r="H93" s="42"/>
      <c r="I93" s="42"/>
      <c r="J93" s="42"/>
      <c r="K93" s="42"/>
      <c r="L93" s="42"/>
      <c r="M93" s="42"/>
      <c r="N93" s="42"/>
      <c r="O93" s="43"/>
      <c r="P93" s="42"/>
    </row>
    <row r="94" ht="18.75" hidden="1" customHeight="1" spans="1:17">
      <c r="A94" s="40"/>
      <c r="B94" s="42"/>
      <c r="C94" s="42"/>
      <c r="D94" s="42"/>
      <c r="E94" s="43"/>
      <c r="F94" s="42"/>
      <c r="G94" s="42"/>
      <c r="H94" s="42"/>
      <c r="I94" s="42"/>
      <c r="J94" s="42"/>
      <c r="K94" s="42"/>
      <c r="L94" s="42"/>
      <c r="M94" s="42"/>
      <c r="N94" s="42"/>
      <c r="O94" s="43"/>
      <c r="P94" s="42"/>
    </row>
    <row r="95" ht="18.75" hidden="1" customHeight="1" spans="1:17">
      <c r="A95" s="40"/>
      <c r="B95" s="42"/>
      <c r="C95" s="42"/>
      <c r="D95" s="42"/>
      <c r="E95" s="43"/>
      <c r="F95" s="42"/>
      <c r="G95" s="42"/>
      <c r="H95" s="42"/>
      <c r="I95" s="42"/>
      <c r="J95" s="42"/>
      <c r="K95" s="42"/>
      <c r="L95" s="42"/>
      <c r="M95" s="42"/>
      <c r="N95" s="42"/>
      <c r="O95" s="43"/>
      <c r="P95" s="42"/>
    </row>
    <row r="96" ht="18.75" hidden="1" customHeight="1" spans="1:17">
      <c r="A96" s="40"/>
      <c r="B96" s="42"/>
      <c r="C96" s="42"/>
      <c r="D96" s="42"/>
      <c r="E96" s="43"/>
      <c r="F96" s="42"/>
      <c r="G96" s="42"/>
      <c r="H96" s="42"/>
      <c r="I96" s="42"/>
      <c r="J96" s="42"/>
      <c r="K96" s="42"/>
      <c r="L96" s="42"/>
      <c r="M96" s="42"/>
      <c r="N96" s="42"/>
      <c r="O96" s="43"/>
      <c r="P96" s="42"/>
    </row>
    <row r="97" ht="18.75" hidden="1" customHeight="1" spans="1:16">
      <c r="A97" s="40"/>
      <c r="B97" s="42"/>
      <c r="C97" s="42"/>
      <c r="D97" s="42"/>
      <c r="E97" s="43"/>
      <c r="F97" s="42"/>
      <c r="G97" s="42"/>
      <c r="H97" s="42"/>
      <c r="I97" s="42"/>
      <c r="J97" s="42"/>
      <c r="K97" s="42"/>
      <c r="L97" s="42"/>
      <c r="M97" s="42"/>
      <c r="N97" s="42"/>
      <c r="O97" s="43"/>
      <c r="P97" s="42"/>
    </row>
    <row r="98" ht="15" customHeight="1" spans="1:16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</row>
    <row r="99" ht="15" customHeight="1" spans="1:16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</row>
    <row r="100" ht="21.75" customHeight="1" spans="1:16">
      <c r="A100" s="51" t="s">
        <v>160</v>
      </c>
    </row>
    <row r="101" ht="27.75" customHeight="1" spans="1:16">
      <c r="A101" s="16" t="s">
        <v>90</v>
      </c>
      <c r="B101" s="16" t="s">
        <v>91</v>
      </c>
      <c r="C101" s="16" t="s">
        <v>92</v>
      </c>
      <c r="D101" s="16"/>
      <c r="E101" s="16"/>
      <c r="F101" s="16"/>
      <c r="G101" s="16" t="s">
        <v>93</v>
      </c>
      <c r="H101" s="16" t="s">
        <v>94</v>
      </c>
      <c r="I101" s="16"/>
      <c r="J101" s="16" t="s">
        <v>44</v>
      </c>
      <c r="K101" s="16" t="s">
        <v>95</v>
      </c>
      <c r="L101" s="16" t="s">
        <v>96</v>
      </c>
      <c r="M101" s="16"/>
      <c r="N101" s="16"/>
      <c r="O101" s="16"/>
      <c r="P101" s="16"/>
    </row>
    <row r="102" ht="30.75" customHeight="1" spans="1:16">
      <c r="A102" s="44">
        <v>1</v>
      </c>
      <c r="B102" s="45" t="s">
        <v>105</v>
      </c>
      <c r="C102" s="18" t="s">
        <v>101</v>
      </c>
      <c r="G102" s="19">
        <v>118</v>
      </c>
      <c r="H102" s="19">
        <v>14461031</v>
      </c>
      <c r="J102" s="20">
        <v>0.124605074880415</v>
      </c>
      <c r="K102" s="19">
        <v>9.83333333333333</v>
      </c>
      <c r="L102" s="18" t="s">
        <v>99</v>
      </c>
    </row>
    <row r="103" ht="30.75" customHeight="1" spans="1:16">
      <c r="A103" s="44">
        <v>2</v>
      </c>
      <c r="B103" s="45" t="s">
        <v>201</v>
      </c>
      <c r="C103" s="18" t="s">
        <v>202</v>
      </c>
      <c r="G103" s="19">
        <v>113</v>
      </c>
      <c r="H103" s="19">
        <v>12783573</v>
      </c>
      <c r="J103" s="20">
        <v>0.110151072278612</v>
      </c>
      <c r="K103" s="19">
        <v>9.41666666666667</v>
      </c>
      <c r="L103" s="18" t="s">
        <v>99</v>
      </c>
    </row>
    <row r="104" ht="30.75" customHeight="1" spans="1:16">
      <c r="A104" s="44">
        <v>3</v>
      </c>
      <c r="B104" s="45" t="s">
        <v>167</v>
      </c>
      <c r="C104" s="18" t="s">
        <v>168</v>
      </c>
      <c r="G104" s="19">
        <v>99</v>
      </c>
      <c r="H104" s="19">
        <v>11820648</v>
      </c>
      <c r="J104" s="20">
        <v>0.101853922391497</v>
      </c>
      <c r="K104" s="19">
        <v>8.25</v>
      </c>
      <c r="L104" s="18" t="s">
        <v>99</v>
      </c>
    </row>
    <row r="105" ht="30.75" customHeight="1" spans="1:16">
      <c r="A105" s="44">
        <v>4</v>
      </c>
      <c r="B105" s="45" t="s">
        <v>203</v>
      </c>
      <c r="C105" s="18" t="s">
        <v>202</v>
      </c>
      <c r="G105" s="19">
        <v>103</v>
      </c>
      <c r="H105" s="19">
        <v>10780168</v>
      </c>
      <c r="J105" s="20">
        <v>0.0928885112592219</v>
      </c>
      <c r="K105" s="19">
        <v>8.58333333333333</v>
      </c>
      <c r="L105" s="18" t="s">
        <v>99</v>
      </c>
    </row>
    <row r="106" ht="30.75" customHeight="1" spans="1:16">
      <c r="A106" s="44">
        <v>5</v>
      </c>
      <c r="B106" s="45" t="s">
        <v>204</v>
      </c>
      <c r="C106" s="18" t="s">
        <v>168</v>
      </c>
      <c r="G106" s="19">
        <v>73</v>
      </c>
      <c r="H106" s="19">
        <v>8955027</v>
      </c>
      <c r="J106" s="20">
        <v>0.0771619817349911</v>
      </c>
      <c r="K106" s="19">
        <v>6.08333333333333</v>
      </c>
      <c r="L106" s="18" t="s">
        <v>99</v>
      </c>
    </row>
    <row r="107" ht="30.75" customHeight="1" spans="1:16">
      <c r="A107" s="44">
        <v>6</v>
      </c>
      <c r="B107" s="45" t="s">
        <v>112</v>
      </c>
      <c r="C107" s="18" t="s">
        <v>101</v>
      </c>
      <c r="G107" s="19">
        <v>85</v>
      </c>
      <c r="H107" s="19">
        <v>8299776</v>
      </c>
      <c r="J107" s="20">
        <v>0.0715159389375953</v>
      </c>
      <c r="K107" s="19">
        <v>7.08333333333333</v>
      </c>
      <c r="L107" s="18" t="s">
        <v>99</v>
      </c>
    </row>
    <row r="108" ht="30.75" customHeight="1" spans="1:16">
      <c r="A108" s="44">
        <v>7</v>
      </c>
      <c r="B108" s="45" t="s">
        <v>205</v>
      </c>
      <c r="C108" s="18" t="s">
        <v>202</v>
      </c>
      <c r="G108" s="19">
        <v>81</v>
      </c>
      <c r="H108" s="19">
        <v>7926124</v>
      </c>
      <c r="J108" s="20">
        <v>0.0682963251051364</v>
      </c>
      <c r="K108" s="19">
        <v>6.75</v>
      </c>
      <c r="L108" s="18" t="s">
        <v>107</v>
      </c>
    </row>
    <row r="109" ht="30.75" customHeight="1" spans="1:16">
      <c r="A109" s="44">
        <v>8</v>
      </c>
      <c r="B109" s="45" t="s">
        <v>206</v>
      </c>
      <c r="C109" s="18" t="s">
        <v>176</v>
      </c>
      <c r="G109" s="19">
        <v>77</v>
      </c>
      <c r="H109" s="19">
        <v>7345772</v>
      </c>
      <c r="J109" s="20">
        <v>0.0632956578348015</v>
      </c>
      <c r="K109" s="19">
        <v>6.41666666666667</v>
      </c>
      <c r="L109" s="18" t="s">
        <v>107</v>
      </c>
    </row>
    <row r="110" ht="30.75" customHeight="1" spans="1:16">
      <c r="A110" s="44">
        <v>9</v>
      </c>
      <c r="B110" s="45" t="s">
        <v>108</v>
      </c>
      <c r="C110" s="18" t="s">
        <v>109</v>
      </c>
      <c r="G110" s="19">
        <v>35</v>
      </c>
      <c r="H110" s="19">
        <v>5398050</v>
      </c>
      <c r="J110" s="20">
        <v>0.0465128955506855</v>
      </c>
      <c r="K110" s="19">
        <v>2.91666666666667</v>
      </c>
      <c r="L110" s="18" t="s">
        <v>107</v>
      </c>
    </row>
    <row r="111" ht="30.75" customHeight="1" spans="1:16">
      <c r="A111" s="44">
        <v>10</v>
      </c>
      <c r="B111" s="45" t="s">
        <v>207</v>
      </c>
      <c r="C111" s="18" t="s">
        <v>208</v>
      </c>
      <c r="G111" s="19">
        <v>29</v>
      </c>
      <c r="H111" s="19">
        <v>4611000</v>
      </c>
      <c r="J111" s="20">
        <v>0.039731192075696</v>
      </c>
      <c r="K111" s="19">
        <v>2.41666666666667</v>
      </c>
      <c r="L111" s="18" t="s">
        <v>107</v>
      </c>
    </row>
    <row r="112" ht="15" customHeight="1" spans="1:16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</row>
    <row r="113" ht="21.75" customHeight="1" spans="1:16">
      <c r="A113" s="51" t="s">
        <v>177</v>
      </c>
    </row>
    <row r="114" ht="27.75" customHeight="1" spans="1:16">
      <c r="A114" s="16" t="s">
        <v>90</v>
      </c>
      <c r="B114" s="16" t="s">
        <v>178</v>
      </c>
      <c r="C114" s="16" t="s">
        <v>179</v>
      </c>
      <c r="D114" s="16"/>
      <c r="E114" s="16"/>
      <c r="F114" s="16"/>
      <c r="G114" s="16" t="s">
        <v>180</v>
      </c>
      <c r="H114" s="16" t="s">
        <v>93</v>
      </c>
      <c r="I114" s="16" t="s">
        <v>94</v>
      </c>
      <c r="J114" s="16"/>
      <c r="K114" s="16" t="s">
        <v>153</v>
      </c>
      <c r="L114" s="16"/>
      <c r="M114" s="16" t="s">
        <v>181</v>
      </c>
      <c r="N114" s="16"/>
      <c r="O114" s="16" t="s">
        <v>182</v>
      </c>
      <c r="P114" s="16"/>
    </row>
    <row r="115" ht="30" customHeight="1" spans="1:16">
      <c r="A115" s="44">
        <v>1</v>
      </c>
      <c r="B115" s="45" t="s">
        <v>209</v>
      </c>
      <c r="C115" s="18" t="s">
        <v>210</v>
      </c>
      <c r="G115" s="19">
        <v>2</v>
      </c>
      <c r="H115" s="19">
        <v>619</v>
      </c>
      <c r="I115" s="19">
        <v>62988515</v>
      </c>
      <c r="K115" s="19">
        <v>24708508</v>
      </c>
      <c r="M115" s="20">
        <v>1.54926420486417</v>
      </c>
      <c r="O115" s="18" t="s">
        <v>185</v>
      </c>
    </row>
    <row r="116" ht="30" customHeight="1" spans="1:16">
      <c r="A116" s="44">
        <v>2</v>
      </c>
      <c r="B116" s="45" t="s">
        <v>211</v>
      </c>
      <c r="C116" s="18" t="s">
        <v>212</v>
      </c>
      <c r="G116" s="19">
        <v>1</v>
      </c>
      <c r="H116" s="19">
        <v>267</v>
      </c>
      <c r="I116" s="19">
        <v>45573000</v>
      </c>
      <c r="K116" s="19">
        <v>35997000</v>
      </c>
      <c r="M116" s="20">
        <v>0.266022168514043</v>
      </c>
      <c r="O116" s="18" t="s">
        <v>185</v>
      </c>
    </row>
    <row r="117" ht="30" customHeight="1" spans="1:16">
      <c r="A117" s="44">
        <v>3</v>
      </c>
      <c r="B117" s="45" t="s">
        <v>213</v>
      </c>
      <c r="C117" s="18" t="s">
        <v>214</v>
      </c>
      <c r="G117" s="19">
        <v>1</v>
      </c>
      <c r="H117" s="19">
        <v>49</v>
      </c>
      <c r="I117" s="19">
        <v>6563247</v>
      </c>
      <c r="K117" s="19">
        <v>2415753</v>
      </c>
      <c r="M117" s="20">
        <v>1.71685350282086</v>
      </c>
      <c r="O117" s="18" t="s">
        <v>192</v>
      </c>
    </row>
    <row r="118" ht="30" customHeight="1" spans="1:16">
      <c r="A118" s="44">
        <v>4</v>
      </c>
      <c r="B118" s="45" t="s">
        <v>215</v>
      </c>
      <c r="C118" s="18" t="s">
        <v>216</v>
      </c>
      <c r="G118" s="19">
        <v>1</v>
      </c>
      <c r="H118" s="19">
        <v>9</v>
      </c>
      <c r="I118" s="19">
        <v>930150</v>
      </c>
      <c r="K118" s="19">
        <v>297482900</v>
      </c>
      <c r="M118" s="20">
        <v>-0.996873265656614</v>
      </c>
      <c r="O118" s="18" t="s">
        <v>192</v>
      </c>
    </row>
    <row r="119" ht="30" customHeight="1" spans="1:16">
      <c r="A119" s="45"/>
      <c r="B119" s="45"/>
      <c r="C119" s="18"/>
      <c r="G119" s="42"/>
      <c r="H119" s="42"/>
      <c r="I119" s="42"/>
      <c r="K119" s="42"/>
      <c r="M119" s="43"/>
      <c r="O119" s="18"/>
    </row>
    <row r="120" ht="15" customHeight="1" spans="1:16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</row>
    <row r="121" ht="15" customHeight="1" spans="1:16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</row>
    <row r="122" ht="15" customHeight="1" spans="1:16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</row>
    <row r="123" ht="15" customHeight="1" spans="1:16">
      <c r="A123" s="52" t="s">
        <v>217</v>
      </c>
    </row>
    <row r="124" ht="15" customHeight="1" spans="1:16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</row>
    <row r="125" ht="15" customHeight="1" spans="1:16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</row>
    <row r="126" ht="15" customHeight="1" spans="1:1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</row>
    <row r="127" ht="15" customHeight="1" spans="1:16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</row>
    <row r="128" ht="15" customHeight="1" spans="1:16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</row>
    <row r="129" ht="15" customHeight="1" spans="1:16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</row>
    <row r="130" ht="15" customHeight="1" spans="1:16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</row>
    <row r="131" ht="15" customHeight="1" spans="1:16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</row>
    <row r="132" ht="15" customHeight="1" spans="1:16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</row>
    <row r="133" ht="15" customHeight="1" spans="1:16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</row>
    <row r="134" ht="15" customHeight="1" spans="1:16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</row>
    <row r="135" ht="15" customHeight="1" spans="1:16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</row>
    <row r="136" ht="15" customHeight="1" spans="1:1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</row>
    <row r="137" ht="15" customHeight="1" spans="1:16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</row>
    <row r="138" ht="15" customHeight="1" spans="1:16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</row>
    <row r="139" ht="15" customHeight="1" spans="1:16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</row>
  </sheetData>
  <mergeCells count="137">
    <mergeCell ref="A3:C3"/>
    <mergeCell ref="D3:F3"/>
    <mergeCell ref="G3:I3"/>
    <mergeCell ref="J3:L3"/>
    <mergeCell ref="M3:N3"/>
    <mergeCell ref="O3:P3"/>
    <mergeCell ref="A4:P4"/>
    <mergeCell ref="A6:C6"/>
    <mergeCell ref="E6:G6"/>
    <mergeCell ref="I6:K6"/>
    <mergeCell ref="M6:O6"/>
    <mergeCell ref="A9:C9"/>
    <mergeCell ref="E9:G9"/>
    <mergeCell ref="I9:K9"/>
    <mergeCell ref="M9:O9"/>
    <mergeCell ref="A10:C10"/>
    <mergeCell ref="E10:G10"/>
    <mergeCell ref="I10:K10"/>
    <mergeCell ref="M10:O10"/>
    <mergeCell ref="A13:C13"/>
    <mergeCell ref="E13:G13"/>
    <mergeCell ref="I13:K13"/>
    <mergeCell ref="M13:O13"/>
    <mergeCell ref="A15:P15"/>
    <mergeCell ref="A50:P50"/>
    <mergeCell ref="I51:P51"/>
    <mergeCell ref="I52:P52"/>
    <mergeCell ref="I53:P53"/>
    <mergeCell ref="I54:P54"/>
    <mergeCell ref="I55:P55"/>
    <mergeCell ref="I56:P56"/>
    <mergeCell ref="I57:P57"/>
    <mergeCell ref="I58:J58"/>
    <mergeCell ref="K58:L58"/>
    <mergeCell ref="M58:N58"/>
    <mergeCell ref="O58:P58"/>
    <mergeCell ref="I59:J59"/>
    <mergeCell ref="K59:L59"/>
    <mergeCell ref="M59:N59"/>
    <mergeCell ref="O59:P59"/>
    <mergeCell ref="I60:J60"/>
    <mergeCell ref="K60:L60"/>
    <mergeCell ref="M60:N60"/>
    <mergeCell ref="O60:P60"/>
    <mergeCell ref="I61:J61"/>
    <mergeCell ref="K61:L61"/>
    <mergeCell ref="M61:N61"/>
    <mergeCell ref="O61:P61"/>
    <mergeCell ref="I62:J62"/>
    <mergeCell ref="K62:L62"/>
    <mergeCell ref="M62:N62"/>
    <mergeCell ref="O62:P62"/>
    <mergeCell ref="A63:G63"/>
    <mergeCell ref="I63:J63"/>
    <mergeCell ref="K63:L63"/>
    <mergeCell ref="M63:N63"/>
    <mergeCell ref="O63:P63"/>
    <mergeCell ref="A64:B64"/>
    <mergeCell ref="C64:D64"/>
    <mergeCell ref="I64:J64"/>
    <mergeCell ref="K64:L64"/>
    <mergeCell ref="M64:N64"/>
    <mergeCell ref="O64:P64"/>
    <mergeCell ref="A65:B65"/>
    <mergeCell ref="C65:D65"/>
    <mergeCell ref="A66:B66"/>
    <mergeCell ref="C66:D66"/>
    <mergeCell ref="A67:B67"/>
    <mergeCell ref="C67:D67"/>
    <mergeCell ref="A68:P68"/>
    <mergeCell ref="A100:P100"/>
    <mergeCell ref="C102:F102"/>
    <mergeCell ref="H102:I102"/>
    <mergeCell ref="L102:P102"/>
    <mergeCell ref="C103:F103"/>
    <mergeCell ref="H103:I103"/>
    <mergeCell ref="L103:P103"/>
    <mergeCell ref="C104:F104"/>
    <mergeCell ref="H104:I104"/>
    <mergeCell ref="L104:P104"/>
    <mergeCell ref="C105:F105"/>
    <mergeCell ref="H105:I105"/>
    <mergeCell ref="L105:P105"/>
    <mergeCell ref="C106:F106"/>
    <mergeCell ref="H106:I106"/>
    <mergeCell ref="L106:P106"/>
    <mergeCell ref="C107:F107"/>
    <mergeCell ref="H107:I107"/>
    <mergeCell ref="L107:P107"/>
    <mergeCell ref="C108:F108"/>
    <mergeCell ref="H108:I108"/>
    <mergeCell ref="L108:P108"/>
    <mergeCell ref="C109:F109"/>
    <mergeCell ref="H109:I109"/>
    <mergeCell ref="L109:P109"/>
    <mergeCell ref="C110:F110"/>
    <mergeCell ref="H110:I110"/>
    <mergeCell ref="L110:P110"/>
    <mergeCell ref="C111:F111"/>
    <mergeCell ref="H111:I111"/>
    <mergeCell ref="L111:P111"/>
    <mergeCell ref="A113:P113"/>
    <mergeCell ref="C115:F115"/>
    <mergeCell ref="I115:J115"/>
    <mergeCell ref="K115:L115"/>
    <mergeCell ref="M115:N115"/>
    <mergeCell ref="O115:P115"/>
    <mergeCell ref="C116:F116"/>
    <mergeCell ref="I116:J116"/>
    <mergeCell ref="K116:L116"/>
    <mergeCell ref="M116:N116"/>
    <mergeCell ref="O116:P116"/>
    <mergeCell ref="C117:F117"/>
    <mergeCell ref="I117:J117"/>
    <mergeCell ref="K117:L117"/>
    <mergeCell ref="M117:N117"/>
    <mergeCell ref="O117:P117"/>
    <mergeCell ref="C118:F118"/>
    <mergeCell ref="I118:J118"/>
    <mergeCell ref="K118:L118"/>
    <mergeCell ref="M118:N118"/>
    <mergeCell ref="O118:P118"/>
    <mergeCell ref="C119:F119"/>
    <mergeCell ref="I119:J119"/>
    <mergeCell ref="K119:L119"/>
    <mergeCell ref="M119:N119"/>
    <mergeCell ref="O119:P119"/>
    <mergeCell ref="A123:P123"/>
    <mergeCell ref="A7:C8"/>
    <mergeCell ref="M7:O8"/>
    <mergeCell ref="E11:G12"/>
    <mergeCell ref="I7:K8"/>
    <mergeCell ref="A1:P2"/>
    <mergeCell ref="I11:K12"/>
    <mergeCell ref="A11:C12"/>
    <mergeCell ref="M11:O12"/>
    <mergeCell ref="E7:G8"/>
  </mergeCells>
  <conditionalFormatting sqref="J70:J97">
    <cfRule type="dataBar" priority="4">
      <dataBar>
        <cfvo type="min"/>
        <cfvo type="max"/>
        <color rgb="FF7C3AED"/>
      </dataBar>
      <extLst>
        <ext xmlns:x14="http://schemas.microsoft.com/office/spreadsheetml/2009/9/main" uri="{B025F937-C7B1-47D3-B67F-A62EFF666E3E}">
          <x14:id>{1b1cd6c0-77c4-4b23-a3ab-3210e0f3257e}</x14:id>
        </ext>
      </extLst>
    </cfRule>
  </conditionalFormatting>
  <conditionalFormatting sqref="N70:N97">
    <cfRule type="cellIs" dxfId="3" priority="2" operator="lessThan">
      <formula>0</formula>
    </cfRule>
  </conditionalFormatting>
  <conditionalFormatting sqref="O70:O97">
    <cfRule type="cellIs" dxfId="3" priority="3" operator="lessThan">
      <formula>0</formula>
    </cfRule>
  </conditionalFormatting>
  <pageMargins left="0.7" right="0.7" top="0.75" bottom="0.75" header="0.511811023622047" footer="0.511811023622047"/>
  <pageSetup paperSize="9" orientation="portrait" horizontalDpi="300" verticalDpi="300"/>
  <headerFooter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b1cd6c0-77c4-4b23-a3ab-3210e0f3257e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J70:J97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39"/>
  <sheetViews>
    <sheetView showGridLines="0" workbookViewId="0">
      <selection activeCell="A120" sqref="$A120:$XFD120"/>
    </sheetView>
  </sheetViews>
  <sheetFormatPr defaultColWidth="8.67592592592593" defaultRowHeight="13.2"/>
  <cols>
    <col min="1" max="1" width="12" customWidth="1"/>
    <col min="2" max="4" width="14" customWidth="1"/>
    <col min="5" max="5" width="11" customWidth="1"/>
    <col min="6" max="10" width="14" customWidth="1"/>
    <col min="11" max="13" width="12" customWidth="1"/>
    <col min="14" max="16" width="14" customWidth="1"/>
    <col min="17" max="17" width="11" customWidth="1"/>
    <col min="18" max="19" width="2.5" customWidth="1"/>
  </cols>
  <sheetData>
    <row r="1" ht="30" customHeight="1" spans="1:20">
      <c r="A1" s="1" t="s">
        <v>218</v>
      </c>
      <c r="R1" s="2" t="s">
        <v>1</v>
      </c>
      <c r="S1" s="3">
        <v>71328000</v>
      </c>
      <c r="T1" t="s">
        <v>1</v>
      </c>
    </row>
    <row r="2" ht="30" customHeight="1" spans="1:20">
      <c r="R2" s="2" t="s">
        <v>2</v>
      </c>
      <c r="S2" s="3">
        <v>91421000</v>
      </c>
      <c r="T2" t="s">
        <v>2</v>
      </c>
    </row>
    <row r="3" ht="21.75" customHeight="1" spans="1:20">
      <c r="A3" s="4" t="s">
        <v>3</v>
      </c>
      <c r="D3" s="4" t="s">
        <v>4</v>
      </c>
      <c r="G3" s="4" t="s">
        <v>5</v>
      </c>
      <c r="J3" s="5" t="s">
        <v>6</v>
      </c>
      <c r="M3" s="4" t="s">
        <v>7</v>
      </c>
      <c r="O3" s="4" t="s">
        <v>8</v>
      </c>
      <c r="R3" s="2" t="s">
        <v>9</v>
      </c>
      <c r="S3" s="3">
        <v>-9163732.97</v>
      </c>
      <c r="T3" t="s">
        <v>9</v>
      </c>
    </row>
    <row r="4" ht="19.5" customHeight="1" spans="1:20">
      <c r="A4" s="6" t="s">
        <v>219</v>
      </c>
      <c r="R4" s="2" t="s">
        <v>11</v>
      </c>
      <c r="S4" s="3">
        <v>-4997978.05</v>
      </c>
      <c r="T4" t="s">
        <v>11</v>
      </c>
    </row>
    <row r="5" ht="15" customHeight="1" spans="1:20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R5" s="2" t="s">
        <v>12</v>
      </c>
      <c r="S5" s="8">
        <v>-0.128473151777703</v>
      </c>
      <c r="T5" t="s">
        <v>12</v>
      </c>
    </row>
    <row r="6" ht="19.5" customHeight="1" spans="1:20">
      <c r="A6" s="48" t="s">
        <v>13</v>
      </c>
      <c r="D6" s="7"/>
      <c r="E6" s="48" t="s">
        <v>14</v>
      </c>
      <c r="H6" s="7"/>
      <c r="I6" s="48" t="s">
        <v>15</v>
      </c>
      <c r="L6" s="7"/>
      <c r="M6" s="48" t="s">
        <v>16</v>
      </c>
      <c r="P6" s="7"/>
      <c r="R6" s="2" t="s">
        <v>17</v>
      </c>
      <c r="S6" s="8">
        <v>-0.0546699122739852</v>
      </c>
      <c r="T6" t="s">
        <v>17</v>
      </c>
    </row>
    <row r="7" ht="25.5" customHeight="1" spans="1:20">
      <c r="A7" s="10">
        <f>$S$1</f>
        <v>71328000</v>
      </c>
      <c r="D7" s="7"/>
      <c r="E7" s="10">
        <f>$S$3</f>
        <v>-9163732.97</v>
      </c>
      <c r="H7" s="7"/>
      <c r="I7" s="11">
        <f>$S$5</f>
        <v>-0.128473151777703</v>
      </c>
      <c r="L7" s="7"/>
      <c r="M7" s="12">
        <f>$S$7</f>
        <v>169</v>
      </c>
      <c r="P7" s="7"/>
      <c r="R7" s="2" t="s">
        <v>18</v>
      </c>
      <c r="S7" s="3">
        <v>169</v>
      </c>
      <c r="T7" t="s">
        <v>18</v>
      </c>
    </row>
    <row r="8" ht="25.5" customHeight="1" spans="1:20">
      <c r="D8" s="7"/>
      <c r="H8" s="7"/>
      <c r="L8" s="7"/>
      <c r="P8" s="7"/>
      <c r="R8" s="2" t="s">
        <v>19</v>
      </c>
      <c r="S8" s="3">
        <v>249</v>
      </c>
      <c r="T8" t="s">
        <v>19</v>
      </c>
    </row>
    <row r="9" ht="18.75" customHeight="1" spans="1:20">
      <c r="A9" s="13">
        <f>IFERROR($S$1/$S$2-1,0)</f>
        <v>-0.219785388477483</v>
      </c>
      <c r="D9" s="7"/>
      <c r="E9" s="14">
        <f>$S$3-$S$4</f>
        <v>-4165754.92</v>
      </c>
      <c r="H9" s="7"/>
      <c r="I9" s="13">
        <f>$S$5-$S$6</f>
        <v>-0.0738032395037178</v>
      </c>
      <c r="L9" s="7"/>
      <c r="M9" s="13">
        <f>IFERROR($S$7/$S$8-1,0)</f>
        <v>-0.321285140562249</v>
      </c>
      <c r="P9" s="7"/>
      <c r="R9" s="2" t="s">
        <v>20</v>
      </c>
      <c r="S9" s="8">
        <v>0.70001371172611</v>
      </c>
      <c r="T9" t="s">
        <v>20</v>
      </c>
    </row>
    <row r="10" ht="19.5" customHeight="1" spans="1:20">
      <c r="A10" s="48" t="s">
        <v>21</v>
      </c>
      <c r="D10" s="7"/>
      <c r="E10" s="48" t="s">
        <v>22</v>
      </c>
      <c r="H10" s="7"/>
      <c r="I10" s="48" t="s">
        <v>23</v>
      </c>
      <c r="L10" s="7"/>
      <c r="M10" s="48" t="s">
        <v>24</v>
      </c>
      <c r="P10" s="7"/>
      <c r="R10" s="2" t="s">
        <v>25</v>
      </c>
      <c r="S10" s="8">
        <v>0.715375077389221</v>
      </c>
      <c r="T10" t="s">
        <v>25</v>
      </c>
    </row>
    <row r="11" ht="25.5" customHeight="1" spans="1:20">
      <c r="A11" s="11">
        <f>$S$9</f>
        <v>0.70001371172611</v>
      </c>
      <c r="D11" s="7"/>
      <c r="E11" s="11">
        <f>$S$11</f>
        <v>0.655839628196501</v>
      </c>
      <c r="H11" s="7"/>
      <c r="I11" s="11">
        <f>$S$13</f>
        <v>0.0118343195266272</v>
      </c>
      <c r="L11" s="7"/>
      <c r="M11" s="10">
        <f>$S$15</f>
        <v>184264000</v>
      </c>
      <c r="P11" s="7"/>
      <c r="R11" s="2" t="s">
        <v>26</v>
      </c>
      <c r="S11" s="8">
        <v>0.655839628196501</v>
      </c>
      <c r="T11" t="s">
        <v>26</v>
      </c>
    </row>
    <row r="12" ht="25.5" customHeight="1" spans="1:20">
      <c r="D12" s="7"/>
      <c r="H12" s="7"/>
      <c r="L12" s="7"/>
      <c r="P12" s="7"/>
      <c r="R12" s="2" t="s">
        <v>27</v>
      </c>
      <c r="S12" s="8">
        <v>0.5740056223406</v>
      </c>
      <c r="T12" t="s">
        <v>27</v>
      </c>
    </row>
    <row r="13" ht="18.75" customHeight="1" spans="1:20">
      <c r="A13" s="13">
        <f>$S$9-$S$10</f>
        <v>-0.015361365663111</v>
      </c>
      <c r="D13" s="7"/>
      <c r="E13" s="13">
        <f>$S$11-$S$12</f>
        <v>0.0818340058559009</v>
      </c>
      <c r="H13" s="7"/>
      <c r="I13" s="13">
        <f>$S$13-$S$14</f>
        <v>-0.0243102587866258</v>
      </c>
      <c r="L13" s="7"/>
      <c r="M13" s="13">
        <f>IFERROR($S$15/$S$1-1,0)</f>
        <v>1.58333333333333</v>
      </c>
      <c r="P13" s="7"/>
      <c r="R13" s="2" t="s">
        <v>28</v>
      </c>
      <c r="S13" s="8">
        <v>0.0118343195266272</v>
      </c>
      <c r="T13" t="s">
        <v>28</v>
      </c>
    </row>
    <row r="14" ht="15" customHeight="1" spans="1:20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R14" s="2" t="s">
        <v>29</v>
      </c>
      <c r="S14" s="8">
        <v>0.036144578313253</v>
      </c>
      <c r="T14" t="s">
        <v>29</v>
      </c>
    </row>
    <row r="15" ht="21.75" customHeight="1" spans="1:20">
      <c r="A15" s="49" t="s">
        <v>116</v>
      </c>
      <c r="R15" s="2" t="s">
        <v>31</v>
      </c>
      <c r="S15" s="3">
        <v>184264000</v>
      </c>
      <c r="T15" t="s">
        <v>31</v>
      </c>
    </row>
    <row r="16" ht="15" customHeight="1" spans="1:20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R16" s="2" t="s">
        <v>32</v>
      </c>
      <c r="S16" s="3">
        <v>-23672976.8391667</v>
      </c>
      <c r="T16" t="s">
        <v>32</v>
      </c>
    </row>
    <row r="17" ht="15" customHeight="1" spans="1:20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R17" s="2" t="s">
        <v>33</v>
      </c>
      <c r="S17" s="3">
        <v>72938000</v>
      </c>
      <c r="T17" t="s">
        <v>33</v>
      </c>
    </row>
    <row r="18" ht="15" customHeight="1" spans="1:20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R18" s="2" t="s">
        <v>34</v>
      </c>
      <c r="S18" s="3">
        <v>21397421.97</v>
      </c>
      <c r="T18" t="s">
        <v>34</v>
      </c>
    </row>
    <row r="19" ht="15" customHeight="1" spans="1:20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R19" s="2" t="s">
        <v>35</v>
      </c>
      <c r="S19" s="3">
        <v>49079000</v>
      </c>
      <c r="T19" t="s">
        <v>35</v>
      </c>
    </row>
    <row r="20" ht="15" customHeight="1" spans="1: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R20" s="2" t="s">
        <v>37</v>
      </c>
      <c r="S20" s="3">
        <v>41224000</v>
      </c>
      <c r="T20" t="s">
        <v>37</v>
      </c>
    </row>
    <row r="21" ht="15" customHeight="1" spans="1:20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R21" s="2" t="s">
        <v>36</v>
      </c>
      <c r="S21" s="3">
        <v>-8710549.33</v>
      </c>
      <c r="T21" t="s">
        <v>36</v>
      </c>
    </row>
    <row r="22" ht="15" customHeight="1" spans="1:20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R22" s="2" t="s">
        <v>38</v>
      </c>
      <c r="S22" s="3">
        <v>3037893.94</v>
      </c>
      <c r="T22" t="s">
        <v>38</v>
      </c>
    </row>
    <row r="23" ht="15" customHeight="1" spans="1:20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R23" s="2" t="s">
        <v>39</v>
      </c>
      <c r="S23" s="8">
        <v>-0.177480171356385</v>
      </c>
      <c r="T23" t="s">
        <v>39</v>
      </c>
    </row>
    <row r="24" ht="15" customHeight="1" spans="1:20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R24" s="2" t="s">
        <v>40</v>
      </c>
      <c r="S24" s="8">
        <v>0.0736923622161848</v>
      </c>
      <c r="T24" t="s">
        <v>40</v>
      </c>
    </row>
    <row r="25" ht="15" customHeight="1" spans="1:20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</row>
    <row r="26" ht="15" customHeight="1" spans="1:20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</row>
    <row r="27" ht="15" customHeight="1" spans="1:20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</row>
    <row r="28" ht="15" customHeight="1" spans="1:20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</row>
    <row r="29" ht="15" customHeight="1" spans="1:20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</row>
    <row r="30" ht="15" customHeight="1" spans="1:2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R30" s="2" t="s">
        <v>117</v>
      </c>
      <c r="S30" s="2" t="s">
        <v>118</v>
      </c>
      <c r="T30" s="2" t="s">
        <v>119</v>
      </c>
    </row>
    <row r="31" ht="15" customHeight="1" spans="1:20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R31" s="2" t="s">
        <v>73</v>
      </c>
      <c r="S31" s="3">
        <v>46779729</v>
      </c>
      <c r="T31" s="3">
        <v>0.655839628196501</v>
      </c>
    </row>
    <row r="32" ht="15" customHeight="1" spans="1:20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R32" s="2" t="s">
        <v>75</v>
      </c>
      <c r="S32" s="3">
        <v>10579800</v>
      </c>
      <c r="T32" s="3">
        <v>0.148326043068641</v>
      </c>
    </row>
    <row r="33" ht="15" customHeight="1" spans="1:20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R33" s="2" t="s">
        <v>77</v>
      </c>
      <c r="S33" s="3">
        <v>1050000</v>
      </c>
      <c r="T33" s="3">
        <v>0.0147207267833109</v>
      </c>
    </row>
    <row r="34" ht="15" customHeight="1" spans="1:20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R34" s="2" t="s">
        <v>79</v>
      </c>
      <c r="S34" s="3">
        <v>684782</v>
      </c>
      <c r="T34" s="3">
        <v>0.00960046545536115</v>
      </c>
    </row>
    <row r="35" ht="15" customHeight="1" spans="1:20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R35" s="2" t="s">
        <v>71</v>
      </c>
      <c r="S35" s="3">
        <v>0</v>
      </c>
      <c r="T35" s="3">
        <v>0</v>
      </c>
    </row>
    <row r="36" ht="15" customHeight="1" spans="1:20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R36" s="2" t="s">
        <v>81</v>
      </c>
      <c r="S36" s="3">
        <v>0</v>
      </c>
      <c r="T36" s="3">
        <v>0</v>
      </c>
    </row>
    <row r="37" ht="15" customHeight="1" spans="1:20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R37" s="2" t="s">
        <v>83</v>
      </c>
      <c r="S37" s="3">
        <v>0</v>
      </c>
      <c r="T37" s="3">
        <v>0</v>
      </c>
    </row>
    <row r="38" ht="15" customHeight="1" spans="1:20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</row>
    <row r="39" ht="15" customHeight="1" spans="1:20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</row>
    <row r="40" ht="15" customHeight="1" spans="1:2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</row>
    <row r="41" ht="15" customHeight="1" spans="1:20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</row>
    <row r="42" ht="15" customHeight="1" spans="1:20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</row>
    <row r="43" ht="15" customHeight="1" spans="1:20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</row>
    <row r="44" ht="15" customHeight="1" spans="1:20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</row>
    <row r="45" ht="15" customHeight="1" spans="1:20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</row>
    <row r="46" ht="15" customHeight="1" spans="1:20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</row>
    <row r="47" ht="15" customHeight="1" spans="1:20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</row>
    <row r="48" ht="15" customHeight="1" spans="1:20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</row>
    <row r="49" ht="15" customHeight="1" spans="1:16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</row>
    <row r="50" ht="21.75" customHeight="1" spans="1:16">
      <c r="A50" s="49" t="s">
        <v>120</v>
      </c>
    </row>
    <row r="51" ht="24" customHeight="1" spans="1:16">
      <c r="A51" s="16" t="s">
        <v>121</v>
      </c>
      <c r="B51" s="16" t="s">
        <v>122</v>
      </c>
      <c r="C51" s="16" t="s">
        <v>69</v>
      </c>
      <c r="D51" s="16" t="s">
        <v>123</v>
      </c>
      <c r="E51" s="16" t="s">
        <v>69</v>
      </c>
      <c r="F51" s="16" t="s">
        <v>124</v>
      </c>
      <c r="G51" s="16" t="s">
        <v>125</v>
      </c>
      <c r="H51" s="7"/>
      <c r="I51" s="17" t="s">
        <v>126</v>
      </c>
    </row>
    <row r="52" ht="22.5" customHeight="1" spans="1:16">
      <c r="A52" s="18" t="s">
        <v>127</v>
      </c>
      <c r="B52" s="19">
        <v>72938000</v>
      </c>
      <c r="C52" s="20">
        <f t="shared" ref="C52:C62" si="0">IFERROR(B52/$B$53,0)</f>
        <v>1.02257178106774</v>
      </c>
      <c r="D52" s="19">
        <v>50069000</v>
      </c>
      <c r="E52" s="20">
        <f t="shared" ref="E52:E62" si="1">IFERROR(D52/$D$53,0)</f>
        <v>1.02017156013774</v>
      </c>
      <c r="F52" s="20">
        <v>-0.23809424324409</v>
      </c>
      <c r="G52" s="20">
        <v>0.175080382078904</v>
      </c>
      <c r="H52" s="7"/>
      <c r="I52" s="21" t="s">
        <v>220</v>
      </c>
    </row>
    <row r="53" ht="22.5" customHeight="1" spans="1:16">
      <c r="A53" s="18" t="s">
        <v>94</v>
      </c>
      <c r="B53" s="19">
        <v>71328000</v>
      </c>
      <c r="C53" s="20">
        <f t="shared" si="0"/>
        <v>1</v>
      </c>
      <c r="D53" s="19">
        <v>49079000</v>
      </c>
      <c r="E53" s="20">
        <f t="shared" si="1"/>
        <v>1</v>
      </c>
      <c r="F53" s="20">
        <v>-0.219785388477483</v>
      </c>
      <c r="G53" s="20">
        <v>0.190544343101106</v>
      </c>
      <c r="H53" s="7"/>
      <c r="I53" s="21" t="s">
        <v>221</v>
      </c>
    </row>
    <row r="54" ht="22.5" customHeight="1" spans="1:16">
      <c r="A54" s="18" t="s">
        <v>130</v>
      </c>
      <c r="B54" s="19">
        <v>-21397421.97</v>
      </c>
      <c r="C54" s="20">
        <f t="shared" si="0"/>
        <v>-0.29998628827389</v>
      </c>
      <c r="D54" s="19">
        <v>-15007051.33</v>
      </c>
      <c r="E54" s="20">
        <f t="shared" si="1"/>
        <v>-0.305773372114346</v>
      </c>
      <c r="F54" s="20">
        <v>0</v>
      </c>
      <c r="G54" s="20">
        <v>0</v>
      </c>
      <c r="H54" s="7"/>
      <c r="I54" s="21" t="s">
        <v>222</v>
      </c>
    </row>
    <row r="55" ht="22.5" customHeight="1" spans="1:16">
      <c r="A55" s="18" t="s">
        <v>132</v>
      </c>
      <c r="B55" s="19">
        <v>49930578.03</v>
      </c>
      <c r="C55" s="20">
        <f t="shared" si="0"/>
        <v>0.70001371172611</v>
      </c>
      <c r="D55" s="19">
        <v>34071948.67</v>
      </c>
      <c r="E55" s="20">
        <f t="shared" si="1"/>
        <v>0.694226627885654</v>
      </c>
      <c r="F55" s="20">
        <v>0</v>
      </c>
      <c r="G55" s="20">
        <v>0</v>
      </c>
      <c r="H55" s="7"/>
      <c r="I55" s="21" t="s">
        <v>223</v>
      </c>
    </row>
    <row r="56" ht="22.5" customHeight="1" spans="1:16">
      <c r="A56" s="18" t="s">
        <v>134</v>
      </c>
      <c r="B56" s="19">
        <v>0</v>
      </c>
      <c r="C56" s="20">
        <f t="shared" si="0"/>
        <v>0</v>
      </c>
      <c r="D56" s="19">
        <v>0</v>
      </c>
      <c r="E56" s="20">
        <f t="shared" si="1"/>
        <v>0</v>
      </c>
      <c r="F56" s="20">
        <v>0</v>
      </c>
      <c r="G56" s="20">
        <v>0</v>
      </c>
      <c r="H56" s="7"/>
      <c r="I56" s="21" t="s">
        <v>224</v>
      </c>
    </row>
    <row r="57" ht="21" customHeight="1" spans="1:16">
      <c r="A57" s="18" t="s">
        <v>136</v>
      </c>
      <c r="B57" s="19">
        <v>-684782</v>
      </c>
      <c r="C57" s="20">
        <f t="shared" si="0"/>
        <v>-0.00960046545536115</v>
      </c>
      <c r="D57" s="19">
        <v>-473580</v>
      </c>
      <c r="E57" s="20">
        <f t="shared" si="1"/>
        <v>-0.0096493408586157</v>
      </c>
      <c r="F57" s="20">
        <v>0</v>
      </c>
      <c r="G57" s="20">
        <v>0</v>
      </c>
      <c r="H57" s="7"/>
      <c r="I57" s="22" t="s">
        <v>137</v>
      </c>
      <c r="J57" s="23"/>
      <c r="K57" s="23"/>
      <c r="L57" s="23"/>
      <c r="M57" s="23"/>
      <c r="N57" s="23"/>
      <c r="O57" s="23"/>
      <c r="P57" s="24"/>
    </row>
    <row r="58" ht="18.75" customHeight="1" spans="1:16">
      <c r="A58" s="18" t="s">
        <v>138</v>
      </c>
      <c r="B58" s="19">
        <v>-10579800</v>
      </c>
      <c r="C58" s="20">
        <f t="shared" si="0"/>
        <v>-0.148326043068641</v>
      </c>
      <c r="D58" s="19">
        <v>-7361850</v>
      </c>
      <c r="E58" s="20">
        <f t="shared" si="1"/>
        <v>-0.15</v>
      </c>
      <c r="F58" s="20">
        <v>0</v>
      </c>
      <c r="G58" s="20">
        <v>0</v>
      </c>
      <c r="H58" s="7"/>
      <c r="I58" s="25" t="s">
        <v>67</v>
      </c>
      <c r="J58" s="24"/>
      <c r="K58" s="26" t="s">
        <v>68</v>
      </c>
      <c r="L58" s="24"/>
      <c r="M58" s="27" t="s">
        <v>139</v>
      </c>
      <c r="N58" s="24"/>
      <c r="O58" s="25" t="s">
        <v>140</v>
      </c>
      <c r="P58" s="24"/>
    </row>
    <row r="59" ht="18.75" customHeight="1" spans="1:16">
      <c r="A59" s="18" t="s">
        <v>141</v>
      </c>
      <c r="B59" s="19">
        <v>-46779729</v>
      </c>
      <c r="C59" s="20">
        <f t="shared" si="0"/>
        <v>-0.655839628196501</v>
      </c>
      <c r="D59" s="19">
        <v>-34237068</v>
      </c>
      <c r="E59" s="20">
        <f t="shared" si="1"/>
        <v>-0.697590985961409</v>
      </c>
      <c r="F59" s="20">
        <v>0</v>
      </c>
      <c r="G59" s="20">
        <v>0</v>
      </c>
      <c r="H59" s="7"/>
      <c r="I59" s="28" t="s">
        <v>141</v>
      </c>
      <c r="J59" s="24"/>
      <c r="K59" s="29">
        <v>46779729</v>
      </c>
      <c r="L59" s="24"/>
      <c r="M59" s="30">
        <v>0.655839628196501</v>
      </c>
      <c r="N59" s="24"/>
      <c r="O59" s="28" t="s">
        <v>225</v>
      </c>
      <c r="P59" s="24"/>
    </row>
    <row r="60" ht="18.75" customHeight="1" spans="1:16">
      <c r="A60" s="18" t="s">
        <v>143</v>
      </c>
      <c r="B60" s="19">
        <v>0</v>
      </c>
      <c r="C60" s="20">
        <f t="shared" si="0"/>
        <v>0</v>
      </c>
      <c r="D60" s="19">
        <v>0</v>
      </c>
      <c r="E60" s="20">
        <f t="shared" si="1"/>
        <v>0</v>
      </c>
      <c r="F60" s="20">
        <v>0</v>
      </c>
      <c r="G60" s="20">
        <v>0</v>
      </c>
      <c r="H60" s="7"/>
      <c r="I60" s="28" t="s">
        <v>138</v>
      </c>
      <c r="J60" s="24"/>
      <c r="K60" s="29">
        <v>10579800</v>
      </c>
      <c r="L60" s="24"/>
      <c r="M60" s="30">
        <v>0.148326043068641</v>
      </c>
      <c r="N60" s="24"/>
      <c r="O60" s="28" t="s">
        <v>142</v>
      </c>
      <c r="P60" s="24"/>
    </row>
    <row r="61" ht="18.75" customHeight="1" spans="1:16">
      <c r="A61" s="18" t="s">
        <v>145</v>
      </c>
      <c r="B61" s="19">
        <v>-1050000</v>
      </c>
      <c r="C61" s="20">
        <f t="shared" si="0"/>
        <v>-0.0147207267833109</v>
      </c>
      <c r="D61" s="19">
        <v>-710000</v>
      </c>
      <c r="E61" s="20">
        <f t="shared" si="1"/>
        <v>-0.0144664724220135</v>
      </c>
      <c r="F61" s="20">
        <v>0</v>
      </c>
      <c r="G61" s="20">
        <v>0</v>
      </c>
      <c r="H61" s="7"/>
      <c r="I61" s="28" t="s">
        <v>145</v>
      </c>
      <c r="J61" s="24"/>
      <c r="K61" s="29">
        <v>1050000</v>
      </c>
      <c r="L61" s="24"/>
      <c r="M61" s="30">
        <v>0.0147207267833109</v>
      </c>
      <c r="N61" s="24"/>
      <c r="O61" s="28" t="s">
        <v>144</v>
      </c>
      <c r="P61" s="24"/>
    </row>
    <row r="62" ht="18.75" customHeight="1" spans="1:16">
      <c r="A62" s="31" t="s">
        <v>45</v>
      </c>
      <c r="B62" s="32">
        <v>-9163732.97</v>
      </c>
      <c r="C62" s="33">
        <f t="shared" si="0"/>
        <v>-0.128473151777703</v>
      </c>
      <c r="D62" s="32">
        <v>-8710549.33</v>
      </c>
      <c r="E62" s="33">
        <f t="shared" si="1"/>
        <v>-0.177480171356385</v>
      </c>
      <c r="F62" s="33">
        <v>0.833488038227779</v>
      </c>
      <c r="G62" s="33">
        <v>-3.86729869509533</v>
      </c>
      <c r="H62" s="7"/>
      <c r="I62" s="28" t="s">
        <v>136</v>
      </c>
      <c r="J62" s="24"/>
      <c r="K62" s="29">
        <v>684782</v>
      </c>
      <c r="L62" s="24"/>
      <c r="M62" s="30">
        <v>0.00960046545536115</v>
      </c>
      <c r="N62" s="24"/>
      <c r="O62" s="28" t="s">
        <v>144</v>
      </c>
      <c r="P62" s="24"/>
    </row>
    <row r="63" ht="19.5" customHeight="1" spans="1:16">
      <c r="A63" s="22" t="s">
        <v>146</v>
      </c>
      <c r="B63" s="23"/>
      <c r="C63" s="23"/>
      <c r="D63" s="23"/>
      <c r="E63" s="23"/>
      <c r="F63" s="23"/>
      <c r="G63" s="24"/>
      <c r="H63" s="7"/>
      <c r="I63" s="28" t="s">
        <v>134</v>
      </c>
      <c r="J63" s="24"/>
      <c r="K63" s="29">
        <v>0</v>
      </c>
      <c r="L63" s="24"/>
      <c r="M63" s="30">
        <v>0</v>
      </c>
      <c r="N63" s="24"/>
      <c r="O63" s="28" t="s">
        <v>144</v>
      </c>
      <c r="P63" s="24"/>
    </row>
    <row r="64" ht="19.5" customHeight="1" spans="1:16">
      <c r="A64" s="25" t="s">
        <v>67</v>
      </c>
      <c r="B64" s="24"/>
      <c r="C64" s="25" t="s">
        <v>122</v>
      </c>
      <c r="D64" s="24"/>
      <c r="E64" s="27" t="s">
        <v>139</v>
      </c>
      <c r="F64" s="25" t="s">
        <v>123</v>
      </c>
      <c r="G64" s="25" t="s">
        <v>140</v>
      </c>
      <c r="H64" s="7"/>
      <c r="I64" s="34" t="s">
        <v>148</v>
      </c>
      <c r="J64" s="24"/>
      <c r="K64" s="35">
        <v>59094311</v>
      </c>
      <c r="L64" s="24"/>
      <c r="M64" s="36">
        <f>IFERROR(K64/$B$53,0)</f>
        <v>0.828486863503813</v>
      </c>
      <c r="N64" s="24"/>
      <c r="O64" s="34" t="s">
        <v>149</v>
      </c>
      <c r="P64" s="24"/>
    </row>
    <row r="65" ht="19.5" customHeight="1" spans="1:17">
      <c r="A65" s="28" t="s">
        <v>141</v>
      </c>
      <c r="B65" s="24"/>
      <c r="C65" s="29">
        <v>46779729</v>
      </c>
      <c r="D65" s="24"/>
      <c r="E65" s="30">
        <v>0.655839628196501</v>
      </c>
      <c r="F65" s="37">
        <v>34237068</v>
      </c>
      <c r="G65" s="28" t="s">
        <v>225</v>
      </c>
      <c r="H65" s="7"/>
      <c r="I65" s="7"/>
      <c r="J65" s="7"/>
      <c r="K65" s="7"/>
      <c r="L65" s="7"/>
      <c r="M65" s="7"/>
      <c r="N65" s="7"/>
      <c r="O65" s="7"/>
      <c r="P65" s="7"/>
    </row>
    <row r="66" ht="19.5" customHeight="1" spans="1:17">
      <c r="A66" s="28" t="s">
        <v>138</v>
      </c>
      <c r="B66" s="24"/>
      <c r="C66" s="29">
        <v>10579800</v>
      </c>
      <c r="D66" s="24"/>
      <c r="E66" s="30">
        <v>0.148326043068641</v>
      </c>
      <c r="F66" s="37">
        <v>7361850</v>
      </c>
      <c r="G66" s="28" t="s">
        <v>142</v>
      </c>
      <c r="H66" s="7"/>
      <c r="I66" s="7"/>
      <c r="J66" s="7"/>
      <c r="K66" s="7"/>
      <c r="L66" s="7"/>
      <c r="M66" s="7"/>
      <c r="N66" s="7"/>
      <c r="O66" s="7"/>
      <c r="P66" s="7"/>
    </row>
    <row r="67" ht="19.5" customHeight="1" spans="1:17">
      <c r="A67" s="28" t="s">
        <v>145</v>
      </c>
      <c r="B67" s="24"/>
      <c r="C67" s="29">
        <v>1050000</v>
      </c>
      <c r="D67" s="24"/>
      <c r="E67" s="30">
        <v>0.0147207267833109</v>
      </c>
      <c r="F67" s="37">
        <v>710000</v>
      </c>
      <c r="G67" s="28" t="s">
        <v>144</v>
      </c>
      <c r="H67" s="7"/>
      <c r="I67" s="7"/>
      <c r="J67" s="7"/>
      <c r="K67" s="7"/>
      <c r="L67" s="7"/>
      <c r="M67" s="7"/>
      <c r="N67" s="7"/>
      <c r="O67" s="7"/>
      <c r="P67" s="7"/>
    </row>
    <row r="68" ht="21.75" customHeight="1" spans="1:17">
      <c r="A68" s="49" t="s">
        <v>150</v>
      </c>
    </row>
    <row r="69" ht="30" customHeight="1" spans="1:17">
      <c r="A69" s="16" t="s">
        <v>62</v>
      </c>
      <c r="B69" s="38" t="s">
        <v>151</v>
      </c>
      <c r="C69" s="38" t="s">
        <v>152</v>
      </c>
      <c r="D69" s="38" t="s">
        <v>153</v>
      </c>
      <c r="E69" s="38" t="s">
        <v>154</v>
      </c>
      <c r="F69" s="39" t="s">
        <v>155</v>
      </c>
      <c r="G69" s="38" t="s">
        <v>130</v>
      </c>
      <c r="H69" s="38" t="s">
        <v>134</v>
      </c>
      <c r="I69" s="38" t="s">
        <v>156</v>
      </c>
      <c r="J69" s="38" t="s">
        <v>138</v>
      </c>
      <c r="K69" s="38" t="s">
        <v>157</v>
      </c>
      <c r="L69" s="38" t="s">
        <v>147</v>
      </c>
      <c r="M69" s="38" t="s">
        <v>158</v>
      </c>
      <c r="N69" s="38" t="s">
        <v>145</v>
      </c>
      <c r="O69" s="38" t="s">
        <v>159</v>
      </c>
      <c r="P69" s="38" t="s">
        <v>45</v>
      </c>
      <c r="Q69" s="39" t="s">
        <v>46</v>
      </c>
    </row>
    <row r="70" ht="18.75" customHeight="1" spans="1:17">
      <c r="A70" s="40" t="s">
        <v>70</v>
      </c>
      <c r="B70" s="19">
        <v>6850000</v>
      </c>
      <c r="C70" s="19">
        <v>6820000</v>
      </c>
      <c r="D70" s="19">
        <v>6944000</v>
      </c>
      <c r="E70" s="19">
        <v>13</v>
      </c>
      <c r="F70" s="20">
        <v>0.0769230769230769</v>
      </c>
      <c r="G70" s="19">
        <v>2096799.08</v>
      </c>
      <c r="H70" s="19">
        <v>0</v>
      </c>
      <c r="I70" s="19">
        <v>75000</v>
      </c>
      <c r="J70" s="19">
        <v>963300</v>
      </c>
      <c r="K70" s="19">
        <v>3044194</v>
      </c>
      <c r="L70" s="19">
        <v>0</v>
      </c>
      <c r="M70" s="19">
        <v>0</v>
      </c>
      <c r="N70" s="19">
        <v>104000</v>
      </c>
      <c r="O70" s="19">
        <f t="shared" ref="O70:O81" si="2">SUM(G70:N70)</f>
        <v>6283293.08</v>
      </c>
      <c r="P70" s="19">
        <v>536706.92</v>
      </c>
      <c r="Q70" s="41">
        <f t="shared" ref="Q70:Q81" si="3">IFERROR(P70/C70,0)</f>
        <v>0.0786960293255132</v>
      </c>
    </row>
    <row r="71" ht="18.75" customHeight="1" spans="1:17">
      <c r="A71" s="40" t="s">
        <v>72</v>
      </c>
      <c r="B71" s="19">
        <v>8318000</v>
      </c>
      <c r="C71" s="19">
        <v>8038000</v>
      </c>
      <c r="D71" s="19">
        <v>12444000</v>
      </c>
      <c r="E71" s="19">
        <v>23</v>
      </c>
      <c r="F71" s="20">
        <v>0.0434782608695652</v>
      </c>
      <c r="G71" s="19">
        <v>2275350.05</v>
      </c>
      <c r="H71" s="19">
        <v>0</v>
      </c>
      <c r="I71" s="19">
        <v>59300</v>
      </c>
      <c r="J71" s="19">
        <v>1146000</v>
      </c>
      <c r="K71" s="19">
        <v>2948674</v>
      </c>
      <c r="L71" s="19">
        <v>0</v>
      </c>
      <c r="M71" s="19">
        <v>0</v>
      </c>
      <c r="N71" s="19">
        <v>116000</v>
      </c>
      <c r="O71" s="19">
        <f t="shared" si="2"/>
        <v>6545324.05</v>
      </c>
      <c r="P71" s="19">
        <v>1492675.95</v>
      </c>
      <c r="Q71" s="41">
        <f t="shared" si="3"/>
        <v>0.185702407315253</v>
      </c>
    </row>
    <row r="72" ht="18.75" customHeight="1" spans="1:17">
      <c r="A72" s="40" t="s">
        <v>74</v>
      </c>
      <c r="B72" s="19">
        <v>3184000</v>
      </c>
      <c r="C72" s="19">
        <v>3084000</v>
      </c>
      <c r="D72" s="19">
        <v>9161000</v>
      </c>
      <c r="E72" s="19">
        <v>8</v>
      </c>
      <c r="F72" s="20">
        <v>0</v>
      </c>
      <c r="G72" s="19">
        <v>871644.46</v>
      </c>
      <c r="H72" s="19">
        <v>0</v>
      </c>
      <c r="I72" s="19">
        <v>26000</v>
      </c>
      <c r="J72" s="19">
        <v>462600</v>
      </c>
      <c r="K72" s="19">
        <v>3098005</v>
      </c>
      <c r="L72" s="19">
        <v>0</v>
      </c>
      <c r="M72" s="19">
        <v>0</v>
      </c>
      <c r="N72" s="19">
        <v>50000</v>
      </c>
      <c r="O72" s="19">
        <f t="shared" si="2"/>
        <v>4508249.46</v>
      </c>
      <c r="P72" s="19">
        <v>-1424249.46</v>
      </c>
      <c r="Q72" s="41">
        <f t="shared" si="3"/>
        <v>-0.461818891050584</v>
      </c>
    </row>
    <row r="73" ht="18.75" customHeight="1" spans="1:17">
      <c r="A73" s="40" t="s">
        <v>76</v>
      </c>
      <c r="B73" s="19">
        <v>4159000</v>
      </c>
      <c r="C73" s="19">
        <v>3949000</v>
      </c>
      <c r="D73" s="19">
        <v>5263000</v>
      </c>
      <c r="E73" s="19">
        <v>12</v>
      </c>
      <c r="F73" s="20">
        <v>0</v>
      </c>
      <c r="G73" s="19">
        <v>1048678.13</v>
      </c>
      <c r="H73" s="19">
        <v>0</v>
      </c>
      <c r="I73" s="19">
        <v>46901</v>
      </c>
      <c r="J73" s="19">
        <v>592350</v>
      </c>
      <c r="K73" s="19">
        <v>2782825</v>
      </c>
      <c r="L73" s="19">
        <v>0</v>
      </c>
      <c r="M73" s="19">
        <v>0</v>
      </c>
      <c r="N73" s="19">
        <v>64000</v>
      </c>
      <c r="O73" s="19">
        <f t="shared" si="2"/>
        <v>4534754.13</v>
      </c>
      <c r="P73" s="19">
        <v>-585754.13</v>
      </c>
      <c r="Q73" s="41">
        <f t="shared" si="3"/>
        <v>-0.148329736642188</v>
      </c>
    </row>
    <row r="74" ht="18.75" customHeight="1" spans="1:17">
      <c r="A74" s="40" t="s">
        <v>78</v>
      </c>
      <c r="B74" s="19">
        <v>358000</v>
      </c>
      <c r="C74" s="19">
        <v>358000</v>
      </c>
      <c r="D74" s="19">
        <v>2875000</v>
      </c>
      <c r="E74" s="19">
        <v>1</v>
      </c>
      <c r="F74" s="20">
        <v>0</v>
      </c>
      <c r="G74" s="19">
        <v>97898.92</v>
      </c>
      <c r="H74" s="19">
        <v>0</v>
      </c>
      <c r="I74" s="19">
        <v>4001</v>
      </c>
      <c r="J74" s="19">
        <v>53700</v>
      </c>
      <c r="K74" s="19">
        <v>668963</v>
      </c>
      <c r="L74" s="19">
        <v>0</v>
      </c>
      <c r="M74" s="19">
        <v>0</v>
      </c>
      <c r="N74" s="19">
        <v>6000</v>
      </c>
      <c r="O74" s="19">
        <f t="shared" si="2"/>
        <v>830562.92</v>
      </c>
      <c r="P74" s="19">
        <v>-472562.92</v>
      </c>
      <c r="Q74" s="41">
        <f t="shared" si="3"/>
        <v>-1.32000815642458</v>
      </c>
    </row>
    <row r="75" ht="18.75" customHeight="1" spans="1:17">
      <c r="A75" s="40" t="s">
        <v>80</v>
      </c>
      <c r="B75" s="19">
        <v>5485000</v>
      </c>
      <c r="C75" s="19">
        <v>5325000</v>
      </c>
      <c r="D75" s="19">
        <v>6774000</v>
      </c>
      <c r="E75" s="19">
        <v>11</v>
      </c>
      <c r="F75" s="20">
        <v>0</v>
      </c>
      <c r="G75" s="19">
        <v>1479536.45</v>
      </c>
      <c r="H75" s="19">
        <v>0</v>
      </c>
      <c r="I75" s="19">
        <v>126801</v>
      </c>
      <c r="J75" s="19">
        <v>798750</v>
      </c>
      <c r="K75" s="19">
        <v>2816741</v>
      </c>
      <c r="L75" s="19">
        <v>0</v>
      </c>
      <c r="M75" s="19">
        <v>0</v>
      </c>
      <c r="N75" s="19">
        <v>82000</v>
      </c>
      <c r="O75" s="19">
        <f t="shared" si="2"/>
        <v>5303828.45</v>
      </c>
      <c r="P75" s="19">
        <v>21171.55</v>
      </c>
      <c r="Q75" s="41">
        <f t="shared" si="3"/>
        <v>0.0039758779342723</v>
      </c>
    </row>
    <row r="76" ht="18.75" customHeight="1" spans="1:17">
      <c r="A76" s="40" t="s">
        <v>82</v>
      </c>
      <c r="B76" s="19">
        <v>4997000</v>
      </c>
      <c r="C76" s="19">
        <v>4927000</v>
      </c>
      <c r="D76" s="19">
        <v>3314000</v>
      </c>
      <c r="E76" s="19">
        <v>13</v>
      </c>
      <c r="F76" s="20">
        <v>0</v>
      </c>
      <c r="G76" s="19">
        <v>1515940.54</v>
      </c>
      <c r="H76" s="19">
        <v>0</v>
      </c>
      <c r="I76" s="19">
        <v>102500</v>
      </c>
      <c r="J76" s="19">
        <v>739050</v>
      </c>
      <c r="K76" s="19">
        <v>3957624</v>
      </c>
      <c r="L76" s="19">
        <v>0</v>
      </c>
      <c r="M76" s="19">
        <v>0</v>
      </c>
      <c r="N76" s="19">
        <v>70000</v>
      </c>
      <c r="O76" s="19">
        <f t="shared" si="2"/>
        <v>6385114.54</v>
      </c>
      <c r="P76" s="19">
        <v>-1458114.54</v>
      </c>
      <c r="Q76" s="41">
        <f t="shared" si="3"/>
        <v>-0.295943685812868</v>
      </c>
    </row>
    <row r="77" ht="18.75" customHeight="1" spans="1:17">
      <c r="A77" s="40" t="s">
        <v>84</v>
      </c>
      <c r="B77" s="19">
        <v>13469000</v>
      </c>
      <c r="C77" s="19">
        <v>13175000</v>
      </c>
      <c r="D77" s="19">
        <v>11674000</v>
      </c>
      <c r="E77" s="19">
        <v>28</v>
      </c>
      <c r="F77" s="20">
        <v>0</v>
      </c>
      <c r="G77" s="19">
        <v>4131756.07</v>
      </c>
      <c r="H77" s="19">
        <v>0</v>
      </c>
      <c r="I77" s="19">
        <v>108773</v>
      </c>
      <c r="J77" s="19">
        <v>1976250</v>
      </c>
      <c r="K77" s="19">
        <v>4686740</v>
      </c>
      <c r="L77" s="19">
        <v>0</v>
      </c>
      <c r="M77" s="19">
        <v>0</v>
      </c>
      <c r="N77" s="19">
        <v>184000</v>
      </c>
      <c r="O77" s="19">
        <f t="shared" si="2"/>
        <v>11087519.07</v>
      </c>
      <c r="P77" s="19">
        <v>2087480.93</v>
      </c>
      <c r="Q77" s="41">
        <f t="shared" si="3"/>
        <v>0.158442575332068</v>
      </c>
    </row>
    <row r="78" ht="18.75" customHeight="1" spans="1:17">
      <c r="A78" s="40" t="s">
        <v>85</v>
      </c>
      <c r="B78" s="19">
        <v>12165000</v>
      </c>
      <c r="C78" s="19">
        <v>12065000</v>
      </c>
      <c r="D78" s="19">
        <v>5477000</v>
      </c>
      <c r="E78" s="19">
        <v>28</v>
      </c>
      <c r="F78" s="20">
        <v>0</v>
      </c>
      <c r="G78" s="19">
        <v>3753435.23</v>
      </c>
      <c r="H78" s="19">
        <v>0</v>
      </c>
      <c r="I78" s="19">
        <v>31998</v>
      </c>
      <c r="J78" s="19">
        <v>1809750</v>
      </c>
      <c r="K78" s="19">
        <v>5121294</v>
      </c>
      <c r="L78" s="19">
        <v>0</v>
      </c>
      <c r="M78" s="19">
        <v>0</v>
      </c>
      <c r="N78" s="19">
        <v>174000</v>
      </c>
      <c r="O78" s="19">
        <f t="shared" si="2"/>
        <v>10890477.23</v>
      </c>
      <c r="P78" s="19">
        <v>1174522.77</v>
      </c>
      <c r="Q78" s="41">
        <f t="shared" si="3"/>
        <v>0.0973495872358061</v>
      </c>
    </row>
    <row r="79" ht="18.75" customHeight="1" spans="1:17">
      <c r="A79" s="40" t="s">
        <v>86</v>
      </c>
      <c r="B79" s="19">
        <v>8600000</v>
      </c>
      <c r="C79" s="19">
        <v>8234000</v>
      </c>
      <c r="D79" s="19">
        <v>9598000</v>
      </c>
      <c r="E79" s="19">
        <v>18</v>
      </c>
      <c r="F79" s="20">
        <v>0</v>
      </c>
      <c r="G79" s="19">
        <v>2520993.04</v>
      </c>
      <c r="H79" s="19">
        <v>0</v>
      </c>
      <c r="I79" s="19">
        <v>126950</v>
      </c>
      <c r="J79" s="19">
        <v>1235100</v>
      </c>
      <c r="K79" s="19">
        <v>5872229</v>
      </c>
      <c r="L79" s="19">
        <v>0</v>
      </c>
      <c r="M79" s="19">
        <v>0</v>
      </c>
      <c r="N79" s="19">
        <v>120000</v>
      </c>
      <c r="O79" s="19">
        <f t="shared" si="2"/>
        <v>9875272.04</v>
      </c>
      <c r="P79" s="19">
        <v>-1641272.04</v>
      </c>
      <c r="Q79" s="41">
        <f t="shared" si="3"/>
        <v>-0.199328642215205</v>
      </c>
    </row>
    <row r="80" ht="18.75" customHeight="1" spans="1:17">
      <c r="A80" s="40" t="s">
        <v>87</v>
      </c>
      <c r="B80" s="19">
        <v>2169000</v>
      </c>
      <c r="C80" s="19">
        <v>2169000</v>
      </c>
      <c r="D80" s="19">
        <v>9558000</v>
      </c>
      <c r="E80" s="19">
        <v>6</v>
      </c>
      <c r="F80" s="20">
        <v>0</v>
      </c>
      <c r="G80" s="19">
        <v>642156</v>
      </c>
      <c r="H80" s="19">
        <v>0</v>
      </c>
      <c r="I80" s="19">
        <v>-16572</v>
      </c>
      <c r="J80" s="19">
        <v>325350</v>
      </c>
      <c r="K80" s="19">
        <v>5464124</v>
      </c>
      <c r="L80" s="19">
        <v>0</v>
      </c>
      <c r="M80" s="19">
        <v>0</v>
      </c>
      <c r="N80" s="19">
        <v>32000</v>
      </c>
      <c r="O80" s="19">
        <f t="shared" si="2"/>
        <v>6447058</v>
      </c>
      <c r="P80" s="19">
        <v>-4278058</v>
      </c>
      <c r="Q80" s="41">
        <f t="shared" si="3"/>
        <v>-1.97236422314431</v>
      </c>
    </row>
    <row r="81" ht="18.75" customHeight="1" spans="1:17">
      <c r="A81" s="40" t="s">
        <v>88</v>
      </c>
      <c r="B81" s="19">
        <v>3184000</v>
      </c>
      <c r="C81" s="19">
        <v>3184000</v>
      </c>
      <c r="D81" s="19">
        <v>8339000</v>
      </c>
      <c r="E81" s="19">
        <v>8</v>
      </c>
      <c r="F81" s="20">
        <v>0</v>
      </c>
      <c r="G81" s="19">
        <v>963234</v>
      </c>
      <c r="H81" s="19">
        <v>0</v>
      </c>
      <c r="I81" s="19">
        <v>-6870</v>
      </c>
      <c r="J81" s="19">
        <v>477600</v>
      </c>
      <c r="K81" s="19">
        <v>6318316</v>
      </c>
      <c r="L81" s="19">
        <v>0</v>
      </c>
      <c r="M81" s="19">
        <v>0</v>
      </c>
      <c r="N81" s="19">
        <v>48000</v>
      </c>
      <c r="O81" s="19">
        <f t="shared" si="2"/>
        <v>7800280</v>
      </c>
      <c r="P81" s="19">
        <v>-4616280</v>
      </c>
      <c r="Q81" s="41">
        <f t="shared" si="3"/>
        <v>-1.44983668341709</v>
      </c>
    </row>
    <row r="82" ht="18.75" hidden="1" customHeight="1" spans="1:17">
      <c r="A82" s="40"/>
      <c r="B82" s="42"/>
      <c r="C82" s="42"/>
      <c r="D82" s="42"/>
      <c r="E82" s="43"/>
      <c r="F82" s="42"/>
      <c r="G82" s="42"/>
      <c r="H82" s="42"/>
      <c r="I82" s="42"/>
      <c r="J82" s="42"/>
      <c r="K82" s="42"/>
      <c r="L82" s="42"/>
      <c r="M82" s="42"/>
      <c r="N82" s="42"/>
      <c r="O82" s="43"/>
      <c r="P82" s="42"/>
    </row>
    <row r="83" ht="18.75" hidden="1" customHeight="1" spans="1:17">
      <c r="A83" s="40"/>
      <c r="B83" s="42"/>
      <c r="C83" s="42"/>
      <c r="D83" s="42"/>
      <c r="E83" s="43"/>
      <c r="F83" s="42"/>
      <c r="G83" s="42"/>
      <c r="H83" s="42"/>
      <c r="I83" s="42"/>
      <c r="J83" s="42"/>
      <c r="K83" s="42"/>
      <c r="L83" s="42"/>
      <c r="M83" s="42"/>
      <c r="N83" s="42"/>
      <c r="O83" s="43"/>
      <c r="P83" s="42"/>
    </row>
    <row r="84" ht="18.75" hidden="1" customHeight="1" spans="1:17">
      <c r="A84" s="40"/>
      <c r="B84" s="42"/>
      <c r="C84" s="42"/>
      <c r="D84" s="42"/>
      <c r="E84" s="43"/>
      <c r="F84" s="42"/>
      <c r="G84" s="42"/>
      <c r="H84" s="42"/>
      <c r="I84" s="42"/>
      <c r="J84" s="42"/>
      <c r="K84" s="42"/>
      <c r="L84" s="42"/>
      <c r="M84" s="42"/>
      <c r="N84" s="42"/>
      <c r="O84" s="43"/>
      <c r="P84" s="42"/>
    </row>
    <row r="85" ht="18.75" hidden="1" customHeight="1" spans="1:17">
      <c r="A85" s="40"/>
      <c r="B85" s="42"/>
      <c r="C85" s="42"/>
      <c r="D85" s="42"/>
      <c r="E85" s="43"/>
      <c r="F85" s="42"/>
      <c r="G85" s="42"/>
      <c r="H85" s="42"/>
      <c r="I85" s="42"/>
      <c r="J85" s="42"/>
      <c r="K85" s="42"/>
      <c r="L85" s="42"/>
      <c r="M85" s="42"/>
      <c r="N85" s="42"/>
      <c r="O85" s="43"/>
      <c r="P85" s="42"/>
    </row>
    <row r="86" ht="18.75" hidden="1" customHeight="1" spans="1:17">
      <c r="A86" s="40"/>
      <c r="B86" s="42"/>
      <c r="C86" s="42"/>
      <c r="D86" s="42"/>
      <c r="E86" s="43"/>
      <c r="F86" s="42"/>
      <c r="G86" s="42"/>
      <c r="H86" s="42"/>
      <c r="I86" s="42"/>
      <c r="J86" s="42"/>
      <c r="K86" s="42"/>
      <c r="L86" s="42"/>
      <c r="M86" s="42"/>
      <c r="N86" s="42"/>
      <c r="O86" s="43"/>
      <c r="P86" s="42"/>
    </row>
    <row r="87" ht="18.75" hidden="1" customHeight="1" spans="1:17">
      <c r="A87" s="40"/>
      <c r="B87" s="42"/>
      <c r="C87" s="42"/>
      <c r="D87" s="42"/>
      <c r="E87" s="43"/>
      <c r="F87" s="42"/>
      <c r="G87" s="42"/>
      <c r="H87" s="42"/>
      <c r="I87" s="42"/>
      <c r="J87" s="42"/>
      <c r="K87" s="42"/>
      <c r="L87" s="42"/>
      <c r="M87" s="42"/>
      <c r="N87" s="42"/>
      <c r="O87" s="43"/>
      <c r="P87" s="42"/>
    </row>
    <row r="88" ht="18.75" hidden="1" customHeight="1" spans="1:17">
      <c r="A88" s="40"/>
      <c r="B88" s="42"/>
      <c r="C88" s="42"/>
      <c r="D88" s="42"/>
      <c r="E88" s="43"/>
      <c r="F88" s="42"/>
      <c r="G88" s="42"/>
      <c r="H88" s="42"/>
      <c r="I88" s="42"/>
      <c r="J88" s="42"/>
      <c r="K88" s="42"/>
      <c r="L88" s="42"/>
      <c r="M88" s="42"/>
      <c r="N88" s="42"/>
      <c r="O88" s="43"/>
      <c r="P88" s="42"/>
    </row>
    <row r="89" ht="18.75" hidden="1" customHeight="1" spans="1:17">
      <c r="A89" s="40"/>
      <c r="B89" s="42"/>
      <c r="C89" s="42"/>
      <c r="D89" s="42"/>
      <c r="E89" s="43"/>
      <c r="F89" s="42"/>
      <c r="G89" s="42"/>
      <c r="H89" s="42"/>
      <c r="I89" s="42"/>
      <c r="J89" s="42"/>
      <c r="K89" s="42"/>
      <c r="L89" s="42"/>
      <c r="M89" s="42"/>
      <c r="N89" s="42"/>
      <c r="O89" s="43"/>
      <c r="P89" s="42"/>
    </row>
    <row r="90" ht="18.75" hidden="1" customHeight="1" spans="1:17">
      <c r="A90" s="40"/>
      <c r="B90" s="42"/>
      <c r="C90" s="42"/>
      <c r="D90" s="42"/>
      <c r="E90" s="43"/>
      <c r="F90" s="42"/>
      <c r="G90" s="42"/>
      <c r="H90" s="42"/>
      <c r="I90" s="42"/>
      <c r="J90" s="42"/>
      <c r="K90" s="42"/>
      <c r="L90" s="42"/>
      <c r="M90" s="42"/>
      <c r="N90" s="42"/>
      <c r="O90" s="43"/>
      <c r="P90" s="42"/>
    </row>
    <row r="91" ht="18.75" hidden="1" customHeight="1" spans="1:17">
      <c r="A91" s="40"/>
      <c r="B91" s="42"/>
      <c r="C91" s="42"/>
      <c r="D91" s="42"/>
      <c r="E91" s="43"/>
      <c r="F91" s="42"/>
      <c r="G91" s="42"/>
      <c r="H91" s="42"/>
      <c r="I91" s="42"/>
      <c r="J91" s="42"/>
      <c r="K91" s="42"/>
      <c r="L91" s="42"/>
      <c r="M91" s="42"/>
      <c r="N91" s="42"/>
      <c r="O91" s="43"/>
      <c r="P91" s="42"/>
    </row>
    <row r="92" ht="18.75" hidden="1" customHeight="1" spans="1:17">
      <c r="A92" s="40"/>
      <c r="B92" s="42"/>
      <c r="C92" s="42"/>
      <c r="D92" s="42"/>
      <c r="E92" s="43"/>
      <c r="F92" s="42"/>
      <c r="G92" s="42"/>
      <c r="H92" s="42"/>
      <c r="I92" s="42"/>
      <c r="J92" s="42"/>
      <c r="K92" s="42"/>
      <c r="L92" s="42"/>
      <c r="M92" s="42"/>
      <c r="N92" s="42"/>
      <c r="O92" s="43"/>
      <c r="P92" s="42"/>
    </row>
    <row r="93" ht="18.75" hidden="1" customHeight="1" spans="1:17">
      <c r="A93" s="40"/>
      <c r="B93" s="42"/>
      <c r="C93" s="42"/>
      <c r="D93" s="42"/>
      <c r="E93" s="43"/>
      <c r="F93" s="42"/>
      <c r="G93" s="42"/>
      <c r="H93" s="42"/>
      <c r="I93" s="42"/>
      <c r="J93" s="42"/>
      <c r="K93" s="42"/>
      <c r="L93" s="42"/>
      <c r="M93" s="42"/>
      <c r="N93" s="42"/>
      <c r="O93" s="43"/>
      <c r="P93" s="42"/>
    </row>
    <row r="94" ht="18.75" hidden="1" customHeight="1" spans="1:17">
      <c r="A94" s="40"/>
      <c r="B94" s="42"/>
      <c r="C94" s="42"/>
      <c r="D94" s="42"/>
      <c r="E94" s="43"/>
      <c r="F94" s="42"/>
      <c r="G94" s="42"/>
      <c r="H94" s="42"/>
      <c r="I94" s="42"/>
      <c r="J94" s="42"/>
      <c r="K94" s="42"/>
      <c r="L94" s="42"/>
      <c r="M94" s="42"/>
      <c r="N94" s="42"/>
      <c r="O94" s="43"/>
      <c r="P94" s="42"/>
    </row>
    <row r="95" ht="18.75" hidden="1" customHeight="1" spans="1:17">
      <c r="A95" s="40"/>
      <c r="B95" s="42"/>
      <c r="C95" s="42"/>
      <c r="D95" s="42"/>
      <c r="E95" s="43"/>
      <c r="F95" s="42"/>
      <c r="G95" s="42"/>
      <c r="H95" s="42"/>
      <c r="I95" s="42"/>
      <c r="J95" s="42"/>
      <c r="K95" s="42"/>
      <c r="L95" s="42"/>
      <c r="M95" s="42"/>
      <c r="N95" s="42"/>
      <c r="O95" s="43"/>
      <c r="P95" s="42"/>
    </row>
    <row r="96" ht="18.75" hidden="1" customHeight="1" spans="1:17">
      <c r="A96" s="40"/>
      <c r="B96" s="42"/>
      <c r="C96" s="42"/>
      <c r="D96" s="42"/>
      <c r="E96" s="43"/>
      <c r="F96" s="42"/>
      <c r="G96" s="42"/>
      <c r="H96" s="42"/>
      <c r="I96" s="42"/>
      <c r="J96" s="42"/>
      <c r="K96" s="42"/>
      <c r="L96" s="42"/>
      <c r="M96" s="42"/>
      <c r="N96" s="42"/>
      <c r="O96" s="43"/>
      <c r="P96" s="42"/>
    </row>
    <row r="97" ht="18.75" hidden="1" customHeight="1" spans="1:16">
      <c r="A97" s="40"/>
      <c r="B97" s="42"/>
      <c r="C97" s="42"/>
      <c r="D97" s="42"/>
      <c r="E97" s="43"/>
      <c r="F97" s="42"/>
      <c r="G97" s="42"/>
      <c r="H97" s="42"/>
      <c r="I97" s="42"/>
      <c r="J97" s="42"/>
      <c r="K97" s="42"/>
      <c r="L97" s="42"/>
      <c r="M97" s="42"/>
      <c r="N97" s="42"/>
      <c r="O97" s="43"/>
      <c r="P97" s="42"/>
    </row>
    <row r="98" ht="15" customHeight="1" spans="1:16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</row>
    <row r="99" ht="15" customHeight="1" spans="1:16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</row>
    <row r="100" ht="21.75" customHeight="1" spans="1:16">
      <c r="A100" s="49" t="s">
        <v>160</v>
      </c>
    </row>
    <row r="101" ht="27.75" customHeight="1" spans="1:16">
      <c r="A101" s="16" t="s">
        <v>90</v>
      </c>
      <c r="B101" s="16" t="s">
        <v>91</v>
      </c>
      <c r="C101" s="16" t="s">
        <v>92</v>
      </c>
      <c r="D101" s="16"/>
      <c r="E101" s="16"/>
      <c r="F101" s="16"/>
      <c r="G101" s="16" t="s">
        <v>93</v>
      </c>
      <c r="H101" s="16" t="s">
        <v>94</v>
      </c>
      <c r="I101" s="16"/>
      <c r="J101" s="16" t="s">
        <v>44</v>
      </c>
      <c r="K101" s="16" t="s">
        <v>95</v>
      </c>
      <c r="L101" s="16" t="s">
        <v>96</v>
      </c>
      <c r="M101" s="16"/>
      <c r="N101" s="16"/>
      <c r="O101" s="16"/>
      <c r="P101" s="16"/>
    </row>
    <row r="102" ht="30.75" customHeight="1" spans="1:16">
      <c r="A102" s="44">
        <v>1</v>
      </c>
      <c r="B102" s="45" t="s">
        <v>105</v>
      </c>
      <c r="C102" s="18" t="s">
        <v>101</v>
      </c>
      <c r="G102" s="19">
        <v>100</v>
      </c>
      <c r="H102" s="19">
        <v>19880000</v>
      </c>
      <c r="J102" s="20">
        <v>0.286471842757508</v>
      </c>
      <c r="K102" s="19">
        <v>8.33333333333333</v>
      </c>
      <c r="L102" s="18" t="s">
        <v>99</v>
      </c>
    </row>
    <row r="103" ht="30.75" customHeight="1" spans="1:16">
      <c r="A103" s="44">
        <v>2</v>
      </c>
      <c r="B103" s="45" t="s">
        <v>108</v>
      </c>
      <c r="C103" s="18" t="s">
        <v>109</v>
      </c>
      <c r="G103" s="19">
        <v>97</v>
      </c>
      <c r="H103" s="19">
        <v>18845000</v>
      </c>
      <c r="J103" s="20">
        <v>0.271557438469076</v>
      </c>
      <c r="K103" s="19">
        <v>8.08333333333333</v>
      </c>
      <c r="L103" s="18" t="s">
        <v>99</v>
      </c>
    </row>
    <row r="104" ht="30.75" customHeight="1" spans="1:16">
      <c r="A104" s="44">
        <v>3</v>
      </c>
      <c r="B104" s="45" t="s">
        <v>112</v>
      </c>
      <c r="C104" s="18" t="s">
        <v>101</v>
      </c>
      <c r="G104" s="19">
        <v>76</v>
      </c>
      <c r="H104" s="19">
        <v>15084000</v>
      </c>
      <c r="J104" s="20">
        <v>0.217361231194882</v>
      </c>
      <c r="K104" s="19">
        <v>6.33333333333333</v>
      </c>
      <c r="L104" s="18" t="s">
        <v>99</v>
      </c>
    </row>
    <row r="105" ht="30.75" customHeight="1" spans="1:16">
      <c r="A105" s="44">
        <v>4</v>
      </c>
      <c r="B105" s="45" t="s">
        <v>226</v>
      </c>
      <c r="C105" s="18" t="s">
        <v>104</v>
      </c>
      <c r="G105" s="19">
        <v>5</v>
      </c>
      <c r="H105" s="19">
        <v>1795000</v>
      </c>
      <c r="J105" s="20">
        <v>0.0258660441524007</v>
      </c>
      <c r="K105" s="19">
        <v>0.416666666666667</v>
      </c>
      <c r="L105" s="18" t="s">
        <v>99</v>
      </c>
    </row>
    <row r="106" ht="30.75" customHeight="1" spans="1:16">
      <c r="A106" s="44">
        <v>5</v>
      </c>
      <c r="B106" s="45" t="s">
        <v>227</v>
      </c>
      <c r="C106" s="18" t="s">
        <v>104</v>
      </c>
      <c r="G106" s="19">
        <v>4</v>
      </c>
      <c r="H106" s="19">
        <v>1436000</v>
      </c>
      <c r="J106" s="20">
        <v>0.0206928353219206</v>
      </c>
      <c r="K106" s="19">
        <v>0.333333333333333</v>
      </c>
      <c r="L106" s="18" t="s">
        <v>99</v>
      </c>
    </row>
    <row r="107" ht="30.75" customHeight="1" spans="1:16">
      <c r="A107" s="44">
        <v>6</v>
      </c>
      <c r="B107" s="45" t="s">
        <v>228</v>
      </c>
      <c r="C107" s="18" t="s">
        <v>104</v>
      </c>
      <c r="G107" s="19">
        <v>4</v>
      </c>
      <c r="H107" s="19">
        <v>1436000</v>
      </c>
      <c r="J107" s="20">
        <v>0.0206928353219206</v>
      </c>
      <c r="K107" s="19">
        <v>0.333333333333333</v>
      </c>
      <c r="L107" s="18" t="s">
        <v>99</v>
      </c>
    </row>
    <row r="108" ht="30.75" customHeight="1" spans="1:16">
      <c r="A108" s="44">
        <v>7</v>
      </c>
      <c r="B108" s="45" t="s">
        <v>229</v>
      </c>
      <c r="C108" s="18" t="s">
        <v>98</v>
      </c>
      <c r="G108" s="19">
        <v>4</v>
      </c>
      <c r="H108" s="19">
        <v>1436000</v>
      </c>
      <c r="J108" s="20">
        <v>0.0206928353219206</v>
      </c>
      <c r="K108" s="19">
        <v>0.333333333333333</v>
      </c>
      <c r="L108" s="18" t="s">
        <v>99</v>
      </c>
    </row>
    <row r="109" ht="30.75" customHeight="1" spans="1:16">
      <c r="A109" s="44">
        <v>8</v>
      </c>
      <c r="B109" s="45" t="s">
        <v>230</v>
      </c>
      <c r="C109" s="18" t="s">
        <v>101</v>
      </c>
      <c r="G109" s="19">
        <v>34</v>
      </c>
      <c r="H109" s="19">
        <v>1393000</v>
      </c>
      <c r="J109" s="20">
        <v>0.0200732030664592</v>
      </c>
      <c r="K109" s="19">
        <v>2.83333333333333</v>
      </c>
      <c r="L109" s="18" t="s">
        <v>99</v>
      </c>
    </row>
    <row r="110" ht="30.75" customHeight="1" spans="1:16">
      <c r="A110" s="44">
        <v>9</v>
      </c>
      <c r="B110" s="45" t="s">
        <v>231</v>
      </c>
      <c r="C110" s="18" t="s">
        <v>104</v>
      </c>
      <c r="G110" s="19">
        <v>3</v>
      </c>
      <c r="H110" s="19">
        <v>1077000</v>
      </c>
      <c r="J110" s="20">
        <v>0.0155196264914404</v>
      </c>
      <c r="K110" s="19">
        <v>0.25</v>
      </c>
      <c r="L110" s="18" t="s">
        <v>107</v>
      </c>
    </row>
    <row r="111" ht="30.75" customHeight="1" spans="1:16">
      <c r="A111" s="44">
        <v>10</v>
      </c>
      <c r="B111" s="45" t="s">
        <v>232</v>
      </c>
      <c r="C111" s="18" t="s">
        <v>176</v>
      </c>
      <c r="G111" s="19">
        <v>5</v>
      </c>
      <c r="H111" s="19">
        <v>955000</v>
      </c>
      <c r="J111" s="20">
        <v>0.0137616000922243</v>
      </c>
      <c r="K111" s="19">
        <v>0.416666666666667</v>
      </c>
      <c r="L111" s="18" t="s">
        <v>99</v>
      </c>
    </row>
    <row r="112" ht="15" customHeight="1" spans="1:16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</row>
    <row r="113" ht="15" customHeight="1" spans="1:16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</row>
    <row r="114" ht="15" customHeight="1" spans="1:16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</row>
    <row r="115" ht="15" customHeight="1" spans="1:16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</row>
    <row r="116" ht="15" customHeight="1" spans="1: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</row>
    <row r="117" ht="15" customHeight="1" spans="1:16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</row>
    <row r="118" ht="15" customHeight="1" spans="1:16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</row>
    <row r="119" ht="15" customHeight="1" spans="1:16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</row>
    <row r="120" ht="15" customHeight="1" spans="1:16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</row>
    <row r="121" ht="15" customHeight="1" spans="1:16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</row>
    <row r="122" ht="15" customHeight="1" spans="1:16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</row>
    <row r="123" ht="15" customHeight="1" spans="1:16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</row>
    <row r="124" ht="15" customHeight="1" spans="1:16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</row>
    <row r="125" ht="15" customHeight="1" spans="1:16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</row>
    <row r="126" ht="15" customHeight="1" spans="1:1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</row>
    <row r="127" ht="15" customHeight="1" spans="1:16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</row>
    <row r="128" ht="15" customHeight="1" spans="1:16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</row>
    <row r="129" ht="15" customHeight="1" spans="1:16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</row>
    <row r="130" ht="15" customHeight="1" spans="1:16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</row>
    <row r="131" ht="15" customHeight="1" spans="1:16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</row>
    <row r="132" ht="15" customHeight="1" spans="1:16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</row>
    <row r="133" ht="15" customHeight="1" spans="1:16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</row>
    <row r="134" ht="15" customHeight="1" spans="1:16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</row>
    <row r="135" ht="15" customHeight="1" spans="1:16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</row>
    <row r="136" ht="15" customHeight="1" spans="1:1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</row>
    <row r="137" ht="15" customHeight="1" spans="1:16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</row>
    <row r="138" ht="15" customHeight="1" spans="1:16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</row>
    <row r="139" ht="15" customHeight="1" spans="1:16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</row>
  </sheetData>
  <mergeCells count="110">
    <mergeCell ref="A3:C3"/>
    <mergeCell ref="D3:F3"/>
    <mergeCell ref="G3:I3"/>
    <mergeCell ref="J3:L3"/>
    <mergeCell ref="M3:N3"/>
    <mergeCell ref="O3:P3"/>
    <mergeCell ref="A4:P4"/>
    <mergeCell ref="A6:C6"/>
    <mergeCell ref="E6:G6"/>
    <mergeCell ref="I6:K6"/>
    <mergeCell ref="M6:O6"/>
    <mergeCell ref="A9:C9"/>
    <mergeCell ref="E9:G9"/>
    <mergeCell ref="I9:K9"/>
    <mergeCell ref="M9:O9"/>
    <mergeCell ref="A10:C10"/>
    <mergeCell ref="E10:G10"/>
    <mergeCell ref="I10:K10"/>
    <mergeCell ref="M10:O10"/>
    <mergeCell ref="A13:C13"/>
    <mergeCell ref="E13:G13"/>
    <mergeCell ref="I13:K13"/>
    <mergeCell ref="M13:O13"/>
    <mergeCell ref="A15:P15"/>
    <mergeCell ref="A50:P50"/>
    <mergeCell ref="I51:P51"/>
    <mergeCell ref="I52:P52"/>
    <mergeCell ref="I53:P53"/>
    <mergeCell ref="I54:P54"/>
    <mergeCell ref="I55:P55"/>
    <mergeCell ref="I56:P56"/>
    <mergeCell ref="I57:P57"/>
    <mergeCell ref="I58:J58"/>
    <mergeCell ref="K58:L58"/>
    <mergeCell ref="M58:N58"/>
    <mergeCell ref="O58:P58"/>
    <mergeCell ref="I59:J59"/>
    <mergeCell ref="K59:L59"/>
    <mergeCell ref="M59:N59"/>
    <mergeCell ref="O59:P59"/>
    <mergeCell ref="I60:J60"/>
    <mergeCell ref="K60:L60"/>
    <mergeCell ref="M60:N60"/>
    <mergeCell ref="O60:P60"/>
    <mergeCell ref="I61:J61"/>
    <mergeCell ref="K61:L61"/>
    <mergeCell ref="M61:N61"/>
    <mergeCell ref="O61:P61"/>
    <mergeCell ref="I62:J62"/>
    <mergeCell ref="K62:L62"/>
    <mergeCell ref="M62:N62"/>
    <mergeCell ref="O62:P62"/>
    <mergeCell ref="A63:G63"/>
    <mergeCell ref="I63:J63"/>
    <mergeCell ref="K63:L63"/>
    <mergeCell ref="M63:N63"/>
    <mergeCell ref="O63:P63"/>
    <mergeCell ref="A64:B64"/>
    <mergeCell ref="C64:D64"/>
    <mergeCell ref="I64:J64"/>
    <mergeCell ref="K64:L64"/>
    <mergeCell ref="M64:N64"/>
    <mergeCell ref="O64:P64"/>
    <mergeCell ref="A65:B65"/>
    <mergeCell ref="C65:D65"/>
    <mergeCell ref="A66:B66"/>
    <mergeCell ref="C66:D66"/>
    <mergeCell ref="A67:B67"/>
    <mergeCell ref="C67:D67"/>
    <mergeCell ref="A68:P68"/>
    <mergeCell ref="A100:P100"/>
    <mergeCell ref="C102:F102"/>
    <mergeCell ref="H102:I102"/>
    <mergeCell ref="L102:P102"/>
    <mergeCell ref="C103:F103"/>
    <mergeCell ref="H103:I103"/>
    <mergeCell ref="L103:P103"/>
    <mergeCell ref="C104:F104"/>
    <mergeCell ref="H104:I104"/>
    <mergeCell ref="L104:P104"/>
    <mergeCell ref="C105:F105"/>
    <mergeCell ref="H105:I105"/>
    <mergeCell ref="L105:P105"/>
    <mergeCell ref="C106:F106"/>
    <mergeCell ref="H106:I106"/>
    <mergeCell ref="L106:P106"/>
    <mergeCell ref="C107:F107"/>
    <mergeCell ref="H107:I107"/>
    <mergeCell ref="L107:P107"/>
    <mergeCell ref="C108:F108"/>
    <mergeCell ref="H108:I108"/>
    <mergeCell ref="L108:P108"/>
    <mergeCell ref="C109:F109"/>
    <mergeCell ref="H109:I109"/>
    <mergeCell ref="L109:P109"/>
    <mergeCell ref="C110:F110"/>
    <mergeCell ref="H110:I110"/>
    <mergeCell ref="L110:P110"/>
    <mergeCell ref="C111:F111"/>
    <mergeCell ref="H111:I111"/>
    <mergeCell ref="L111:P111"/>
    <mergeCell ref="A7:C8"/>
    <mergeCell ref="M7:O8"/>
    <mergeCell ref="E11:G12"/>
    <mergeCell ref="I7:K8"/>
    <mergeCell ref="A1:P2"/>
    <mergeCell ref="I11:K12"/>
    <mergeCell ref="A11:C12"/>
    <mergeCell ref="M11:O12"/>
    <mergeCell ref="E7:G8"/>
  </mergeCells>
  <conditionalFormatting sqref="J70:J97">
    <cfRule type="dataBar" priority="4">
      <dataBar>
        <cfvo type="min"/>
        <cfvo type="max"/>
        <color rgb="FFD97706"/>
      </dataBar>
      <extLst>
        <ext xmlns:x14="http://schemas.microsoft.com/office/spreadsheetml/2009/9/main" uri="{B025F937-C7B1-47D3-B67F-A62EFF666E3E}">
          <x14:id>{ec624cf8-3647-4d2e-8a60-8d4699e7511b}</x14:id>
        </ext>
      </extLst>
    </cfRule>
  </conditionalFormatting>
  <conditionalFormatting sqref="N70:N97">
    <cfRule type="cellIs" dxfId="3" priority="2" operator="lessThan">
      <formula>0</formula>
    </cfRule>
  </conditionalFormatting>
  <conditionalFormatting sqref="O70:O97">
    <cfRule type="cellIs" dxfId="3" priority="3" operator="lessThan">
      <formula>0</formula>
    </cfRule>
  </conditionalFormatting>
  <pageMargins left="0.7" right="0.7" top="0.75" bottom="0.75" header="0.511811023622047" footer="0.511811023622047"/>
  <pageSetup paperSize="9" orientation="portrait" horizontalDpi="300" verticalDpi="300"/>
  <headerFooter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c624cf8-3647-4d2e-8a60-8d4699e7511b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J70:J97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39"/>
  <sheetViews>
    <sheetView showGridLines="0" workbookViewId="0">
      <selection activeCell="A120" sqref="$A120:$XFD120"/>
    </sheetView>
  </sheetViews>
  <sheetFormatPr defaultColWidth="8.67592592592593" defaultRowHeight="13.2"/>
  <cols>
    <col min="1" max="1" width="12" customWidth="1"/>
    <col min="2" max="4" width="14" customWidth="1"/>
    <col min="5" max="5" width="11" customWidth="1"/>
    <col min="6" max="10" width="14" customWidth="1"/>
    <col min="11" max="13" width="12" customWidth="1"/>
    <col min="14" max="16" width="14" customWidth="1"/>
    <col min="17" max="17" width="11" customWidth="1"/>
    <col min="18" max="19" width="2.5" customWidth="1"/>
  </cols>
  <sheetData>
    <row r="1" ht="30" customHeight="1" spans="1:20">
      <c r="A1" s="1" t="s">
        <v>233</v>
      </c>
      <c r="R1" s="2" t="s">
        <v>1</v>
      </c>
      <c r="S1" s="3">
        <v>534034024</v>
      </c>
      <c r="T1" t="s">
        <v>1</v>
      </c>
    </row>
    <row r="2" ht="30" customHeight="1" spans="1:20">
      <c r="R2" s="2" t="s">
        <v>2</v>
      </c>
      <c r="S2" s="3">
        <v>433724760</v>
      </c>
      <c r="T2" t="s">
        <v>2</v>
      </c>
    </row>
    <row r="3" ht="21.75" customHeight="1" spans="1:20">
      <c r="A3" s="4" t="s">
        <v>3</v>
      </c>
      <c r="D3" s="4" t="s">
        <v>4</v>
      </c>
      <c r="G3" s="4" t="s">
        <v>5</v>
      </c>
      <c r="J3" s="4" t="s">
        <v>6</v>
      </c>
      <c r="M3" s="5" t="s">
        <v>7</v>
      </c>
      <c r="O3" s="4" t="s">
        <v>8</v>
      </c>
      <c r="R3" s="2" t="s">
        <v>9</v>
      </c>
      <c r="S3" s="3">
        <v>64877744.7</v>
      </c>
      <c r="T3" t="s">
        <v>9</v>
      </c>
    </row>
    <row r="4" ht="19.5" customHeight="1" spans="1:20">
      <c r="A4" s="6" t="s">
        <v>234</v>
      </c>
      <c r="R4" s="2" t="s">
        <v>11</v>
      </c>
      <c r="S4" s="3">
        <v>40512559.66</v>
      </c>
      <c r="T4" t="s">
        <v>11</v>
      </c>
    </row>
    <row r="5" ht="15" customHeight="1" spans="1:20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R5" s="2" t="s">
        <v>12</v>
      </c>
      <c r="S5" s="8">
        <v>0.121486163398458</v>
      </c>
      <c r="T5" t="s">
        <v>12</v>
      </c>
    </row>
    <row r="6" ht="19.5" customHeight="1" spans="1:20">
      <c r="A6" s="46" t="s">
        <v>13</v>
      </c>
      <c r="D6" s="7"/>
      <c r="E6" s="46" t="s">
        <v>14</v>
      </c>
      <c r="H6" s="7"/>
      <c r="I6" s="46" t="s">
        <v>15</v>
      </c>
      <c r="L6" s="7"/>
      <c r="M6" s="46" t="s">
        <v>16</v>
      </c>
      <c r="P6" s="7"/>
      <c r="R6" s="2" t="s">
        <v>17</v>
      </c>
      <c r="S6" s="8">
        <v>0.0934061492362115</v>
      </c>
      <c r="T6" t="s">
        <v>17</v>
      </c>
    </row>
    <row r="7" ht="25.5" customHeight="1" spans="1:20">
      <c r="A7" s="10">
        <f>$S$1</f>
        <v>534034024</v>
      </c>
      <c r="D7" s="7"/>
      <c r="E7" s="10">
        <f>$S$3</f>
        <v>64877744.7</v>
      </c>
      <c r="H7" s="7"/>
      <c r="I7" s="11">
        <f>$S$5</f>
        <v>0.121486163398458</v>
      </c>
      <c r="L7" s="7"/>
      <c r="M7" s="12">
        <f>$S$7</f>
        <v>1717</v>
      </c>
      <c r="P7" s="7"/>
      <c r="R7" s="2" t="s">
        <v>18</v>
      </c>
      <c r="S7" s="3">
        <v>1717</v>
      </c>
      <c r="T7" t="s">
        <v>18</v>
      </c>
    </row>
    <row r="8" ht="25.5" customHeight="1" spans="1:20">
      <c r="D8" s="7"/>
      <c r="H8" s="7"/>
      <c r="L8" s="7"/>
      <c r="P8" s="7"/>
      <c r="R8" s="2" t="s">
        <v>19</v>
      </c>
      <c r="S8" s="3">
        <v>1383</v>
      </c>
      <c r="T8" t="s">
        <v>19</v>
      </c>
    </row>
    <row r="9" ht="18.75" customHeight="1" spans="1:20">
      <c r="A9" s="13">
        <f>IFERROR($S$1/$S$2-1,0)</f>
        <v>0.231274008889877</v>
      </c>
      <c r="D9" s="7"/>
      <c r="E9" s="14">
        <f>$S$3-$S$4</f>
        <v>24365185.04</v>
      </c>
      <c r="H9" s="7"/>
      <c r="I9" s="13">
        <f>$S$5-$S$6</f>
        <v>0.0280800141622465</v>
      </c>
      <c r="L9" s="7"/>
      <c r="M9" s="13">
        <f>IFERROR($S$7/$S$8-1,0)</f>
        <v>0.241503976861895</v>
      </c>
      <c r="P9" s="7"/>
      <c r="R9" s="2" t="s">
        <v>20</v>
      </c>
      <c r="S9" s="8">
        <v>0.754195745307044</v>
      </c>
      <c r="T9" t="s">
        <v>20</v>
      </c>
    </row>
    <row r="10" ht="19.5" customHeight="1" spans="1:20">
      <c r="A10" s="46" t="s">
        <v>21</v>
      </c>
      <c r="D10" s="7"/>
      <c r="E10" s="46" t="s">
        <v>22</v>
      </c>
      <c r="H10" s="7"/>
      <c r="I10" s="46" t="s">
        <v>23</v>
      </c>
      <c r="L10" s="7"/>
      <c r="M10" s="46" t="s">
        <v>24</v>
      </c>
      <c r="P10" s="7"/>
      <c r="R10" s="2" t="s">
        <v>25</v>
      </c>
      <c r="S10" s="8">
        <v>0.765575462327768</v>
      </c>
      <c r="T10" t="s">
        <v>25</v>
      </c>
    </row>
    <row r="11" ht="25.5" customHeight="1" spans="1:20">
      <c r="A11" s="11">
        <f>$S$9</f>
        <v>0.754195745307044</v>
      </c>
      <c r="D11" s="7"/>
      <c r="E11" s="11">
        <f>$S$11</f>
        <v>0.175117746804837</v>
      </c>
      <c r="H11" s="7"/>
      <c r="I11" s="11">
        <f>$S$13</f>
        <v>0.126965637740245</v>
      </c>
      <c r="L11" s="7"/>
      <c r="M11" s="10">
        <f>$S$15</f>
        <v>1379587895.33333</v>
      </c>
      <c r="P11" s="7"/>
      <c r="R11" s="2" t="s">
        <v>26</v>
      </c>
      <c r="S11" s="8">
        <v>0.175117746804837</v>
      </c>
      <c r="T11" t="s">
        <v>26</v>
      </c>
    </row>
    <row r="12" ht="25.5" customHeight="1" spans="1:20">
      <c r="D12" s="7"/>
      <c r="H12" s="7"/>
      <c r="L12" s="7"/>
      <c r="P12" s="7"/>
      <c r="R12" s="2" t="s">
        <v>27</v>
      </c>
      <c r="S12" s="8">
        <v>0.219638313939006</v>
      </c>
      <c r="T12" t="s">
        <v>27</v>
      </c>
    </row>
    <row r="13" ht="18.75" customHeight="1" spans="1:20">
      <c r="A13" s="13">
        <f>$S$9-$S$10</f>
        <v>-0.0113797170207239</v>
      </c>
      <c r="D13" s="7"/>
      <c r="E13" s="13">
        <f>$S$11-$S$12</f>
        <v>-0.044520567134169</v>
      </c>
      <c r="H13" s="7"/>
      <c r="I13" s="13">
        <f>$S$13-$S$14</f>
        <v>0.009828978304236</v>
      </c>
      <c r="L13" s="7"/>
      <c r="M13" s="13">
        <f>IFERROR($S$15/$S$1-1,0)</f>
        <v>1.58333333333333</v>
      </c>
      <c r="P13" s="7"/>
      <c r="R13" s="2" t="s">
        <v>28</v>
      </c>
      <c r="S13" s="8">
        <v>0.126965637740245</v>
      </c>
      <c r="T13" t="s">
        <v>28</v>
      </c>
    </row>
    <row r="14" ht="15" customHeight="1" spans="1:20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R14" s="2" t="s">
        <v>29</v>
      </c>
      <c r="S14" s="8">
        <v>0.117136659436009</v>
      </c>
      <c r="T14" t="s">
        <v>29</v>
      </c>
    </row>
    <row r="15" ht="21.75" customHeight="1" spans="1:20">
      <c r="A15" s="47" t="s">
        <v>116</v>
      </c>
      <c r="R15" s="2" t="s">
        <v>31</v>
      </c>
      <c r="S15" s="3">
        <v>1379587895.33333</v>
      </c>
      <c r="T15" t="s">
        <v>31</v>
      </c>
    </row>
    <row r="16" ht="15" customHeight="1" spans="1:20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R16" s="2" t="s">
        <v>32</v>
      </c>
      <c r="S16" s="3">
        <v>167600840.475</v>
      </c>
      <c r="T16" t="s">
        <v>32</v>
      </c>
    </row>
    <row r="17" ht="15" customHeight="1" spans="1:20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R17" s="2" t="s">
        <v>33</v>
      </c>
      <c r="S17" s="3">
        <v>771363000</v>
      </c>
      <c r="T17" t="s">
        <v>33</v>
      </c>
    </row>
    <row r="18" ht="15" customHeight="1" spans="1:20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R18" s="2" t="s">
        <v>34</v>
      </c>
      <c r="S18" s="3">
        <v>131267835.25</v>
      </c>
      <c r="T18" t="s">
        <v>34</v>
      </c>
    </row>
    <row r="19" ht="15" customHeight="1" spans="1:20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R19" s="2" t="s">
        <v>35</v>
      </c>
      <c r="S19" s="3">
        <v>374321024</v>
      </c>
      <c r="T19" t="s">
        <v>35</v>
      </c>
    </row>
    <row r="20" ht="15" customHeight="1" spans="1: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R20" s="2" t="s">
        <v>37</v>
      </c>
      <c r="S20" s="3">
        <v>211411870</v>
      </c>
      <c r="T20" t="s">
        <v>37</v>
      </c>
    </row>
    <row r="21" ht="15" customHeight="1" spans="1:20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R21" s="2" t="s">
        <v>36</v>
      </c>
      <c r="S21" s="3">
        <v>46253319.19</v>
      </c>
      <c r="T21" t="s">
        <v>36</v>
      </c>
    </row>
    <row r="22" ht="15" customHeight="1" spans="1:20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R22" s="2" t="s">
        <v>38</v>
      </c>
      <c r="S22" s="3">
        <v>24646022.35</v>
      </c>
      <c r="T22" t="s">
        <v>38</v>
      </c>
    </row>
    <row r="23" ht="15" customHeight="1" spans="1:20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R23" s="2" t="s">
        <v>39</v>
      </c>
      <c r="S23" s="8">
        <v>0.123565913278758</v>
      </c>
      <c r="T23" t="s">
        <v>39</v>
      </c>
    </row>
    <row r="24" ht="15" customHeight="1" spans="1:20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R24" s="2" t="s">
        <v>40</v>
      </c>
      <c r="S24" s="8">
        <v>0.116578233521136</v>
      </c>
      <c r="T24" t="s">
        <v>40</v>
      </c>
    </row>
    <row r="25" ht="15" customHeight="1" spans="1:20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</row>
    <row r="26" ht="15" customHeight="1" spans="1:20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</row>
    <row r="27" ht="15" customHeight="1" spans="1:20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</row>
    <row r="28" ht="15" customHeight="1" spans="1:20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</row>
    <row r="29" ht="15" customHeight="1" spans="1:20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</row>
    <row r="30" ht="15" customHeight="1" spans="1:2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R30" s="2" t="s">
        <v>117</v>
      </c>
      <c r="S30" s="2" t="s">
        <v>118</v>
      </c>
      <c r="T30" s="2" t="s">
        <v>119</v>
      </c>
    </row>
    <row r="31" ht="15" customHeight="1" spans="1:20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R31" s="2" t="s">
        <v>71</v>
      </c>
      <c r="S31" s="3">
        <v>185847857</v>
      </c>
      <c r="T31" s="3">
        <v>0.34800752133351</v>
      </c>
    </row>
    <row r="32" ht="15" customHeight="1" spans="1:20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R32" s="2" t="s">
        <v>73</v>
      </c>
      <c r="S32" s="3">
        <v>93518835</v>
      </c>
      <c r="T32" s="3">
        <v>0.175117746804837</v>
      </c>
    </row>
    <row r="33" ht="15" customHeight="1" spans="1:20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R33" s="2" t="s">
        <v>75</v>
      </c>
      <c r="S33" s="3">
        <v>52025752.05</v>
      </c>
      <c r="T33" s="3">
        <v>0.0974202947975465</v>
      </c>
    </row>
    <row r="34" ht="15" customHeight="1" spans="1:20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R34" s="2" t="s">
        <v>77</v>
      </c>
      <c r="S34" s="3">
        <v>5686000</v>
      </c>
      <c r="T34" s="3">
        <v>0.01064726168084</v>
      </c>
    </row>
    <row r="35" ht="15" customHeight="1" spans="1:20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R35" s="2" t="s">
        <v>79</v>
      </c>
      <c r="S35" s="3">
        <v>810000</v>
      </c>
      <c r="T35" s="3">
        <v>0.00151675729185375</v>
      </c>
    </row>
    <row r="36" ht="15" customHeight="1" spans="1:20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R36" s="2" t="s">
        <v>83</v>
      </c>
      <c r="S36" s="3">
        <v>0</v>
      </c>
      <c r="T36" s="3">
        <v>0</v>
      </c>
    </row>
    <row r="37" ht="15" customHeight="1" spans="1:20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R37" s="2" t="s">
        <v>81</v>
      </c>
      <c r="S37" s="3">
        <v>0</v>
      </c>
      <c r="T37" s="3">
        <v>0</v>
      </c>
    </row>
    <row r="38" ht="15" customHeight="1" spans="1:20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</row>
    <row r="39" ht="15" customHeight="1" spans="1:20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</row>
    <row r="40" ht="15" customHeight="1" spans="1:2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</row>
    <row r="41" ht="15" customHeight="1" spans="1:20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</row>
    <row r="42" ht="15" customHeight="1" spans="1:20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</row>
    <row r="43" ht="15" customHeight="1" spans="1:20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</row>
    <row r="44" ht="15" customHeight="1" spans="1:20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</row>
    <row r="45" ht="15" customHeight="1" spans="1:20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</row>
    <row r="46" ht="15" customHeight="1" spans="1:20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</row>
    <row r="47" ht="15" customHeight="1" spans="1:20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</row>
    <row r="48" ht="15" customHeight="1" spans="1:20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</row>
    <row r="49" ht="15" customHeight="1" spans="1:16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</row>
    <row r="50" ht="21.75" customHeight="1" spans="1:16">
      <c r="A50" s="47" t="s">
        <v>120</v>
      </c>
    </row>
    <row r="51" ht="24" customHeight="1" spans="1:16">
      <c r="A51" s="16" t="s">
        <v>121</v>
      </c>
      <c r="B51" s="16" t="s">
        <v>122</v>
      </c>
      <c r="C51" s="16" t="s">
        <v>69</v>
      </c>
      <c r="D51" s="16" t="s">
        <v>123</v>
      </c>
      <c r="E51" s="16" t="s">
        <v>69</v>
      </c>
      <c r="F51" s="16" t="s">
        <v>124</v>
      </c>
      <c r="G51" s="16" t="s">
        <v>125</v>
      </c>
      <c r="H51" s="7"/>
      <c r="I51" s="17" t="s">
        <v>126</v>
      </c>
    </row>
    <row r="52" ht="22.5" customHeight="1" spans="1:16">
      <c r="A52" s="18" t="s">
        <v>127</v>
      </c>
      <c r="B52" s="19">
        <v>771363000</v>
      </c>
      <c r="C52" s="20">
        <f t="shared" ref="C52:C62" si="0">IFERROR(B52/$B$53,0)</f>
        <v>1.44440796903233</v>
      </c>
      <c r="D52" s="19">
        <v>553608000</v>
      </c>
      <c r="E52" s="20">
        <f t="shared" ref="E52:E62" si="1">IFERROR(D52/$D$53,0)</f>
        <v>1.47896581945662</v>
      </c>
      <c r="F52" s="20">
        <v>0.322051763705762</v>
      </c>
      <c r="G52" s="20">
        <v>0.896989737351586</v>
      </c>
      <c r="H52" s="7"/>
      <c r="I52" s="21" t="s">
        <v>235</v>
      </c>
    </row>
    <row r="53" ht="22.5" customHeight="1" spans="1:16">
      <c r="A53" s="18" t="s">
        <v>94</v>
      </c>
      <c r="B53" s="19">
        <v>534034024</v>
      </c>
      <c r="C53" s="20">
        <f t="shared" si="0"/>
        <v>1</v>
      </c>
      <c r="D53" s="19">
        <v>374321024</v>
      </c>
      <c r="E53" s="20">
        <f t="shared" si="1"/>
        <v>1</v>
      </c>
      <c r="F53" s="20">
        <v>0.231274008889878</v>
      </c>
      <c r="G53" s="20">
        <v>0.770577139306322</v>
      </c>
      <c r="H53" s="7"/>
      <c r="I53" s="21" t="s">
        <v>236</v>
      </c>
    </row>
    <row r="54" ht="22.5" customHeight="1" spans="1:16">
      <c r="A54" s="18" t="s">
        <v>130</v>
      </c>
      <c r="B54" s="19">
        <v>-131267835.25</v>
      </c>
      <c r="C54" s="20">
        <f t="shared" si="0"/>
        <v>-0.245804254692956</v>
      </c>
      <c r="D54" s="19">
        <v>-94032283.11</v>
      </c>
      <c r="E54" s="20">
        <f t="shared" si="1"/>
        <v>-0.251207592096136</v>
      </c>
      <c r="F54" s="20">
        <v>0</v>
      </c>
      <c r="G54" s="20">
        <v>0</v>
      </c>
      <c r="H54" s="7"/>
      <c r="I54" s="21" t="s">
        <v>237</v>
      </c>
    </row>
    <row r="55" ht="22.5" customHeight="1" spans="1:16">
      <c r="A55" s="18" t="s">
        <v>132</v>
      </c>
      <c r="B55" s="19">
        <v>402766188.75</v>
      </c>
      <c r="C55" s="20">
        <f t="shared" si="0"/>
        <v>0.754195745307044</v>
      </c>
      <c r="D55" s="19">
        <v>280288740.89</v>
      </c>
      <c r="E55" s="20">
        <f t="shared" si="1"/>
        <v>0.748792407903864</v>
      </c>
      <c r="F55" s="20">
        <v>0</v>
      </c>
      <c r="G55" s="20">
        <v>0</v>
      </c>
      <c r="H55" s="7"/>
      <c r="I55" s="21" t="s">
        <v>238</v>
      </c>
    </row>
    <row r="56" ht="22.5" customHeight="1" spans="1:16">
      <c r="A56" s="18" t="s">
        <v>134</v>
      </c>
      <c r="B56" s="19">
        <v>-185847857</v>
      </c>
      <c r="C56" s="20">
        <f t="shared" si="0"/>
        <v>-0.34800752133351</v>
      </c>
      <c r="D56" s="19">
        <v>-131588351</v>
      </c>
      <c r="E56" s="20">
        <f t="shared" si="1"/>
        <v>-0.351538766361144</v>
      </c>
      <c r="F56" s="20">
        <v>0</v>
      </c>
      <c r="G56" s="20">
        <v>0</v>
      </c>
      <c r="H56" s="7"/>
      <c r="I56" s="21" t="s">
        <v>239</v>
      </c>
    </row>
    <row r="57" ht="21" customHeight="1" spans="1:16">
      <c r="A57" s="18" t="s">
        <v>136</v>
      </c>
      <c r="B57" s="19">
        <v>-810000</v>
      </c>
      <c r="C57" s="20">
        <f t="shared" si="0"/>
        <v>-0.00151675729185375</v>
      </c>
      <c r="D57" s="19">
        <v>-450000</v>
      </c>
      <c r="E57" s="20">
        <f t="shared" si="1"/>
        <v>-0.00120217666427414</v>
      </c>
      <c r="F57" s="20">
        <v>0</v>
      </c>
      <c r="G57" s="20">
        <v>0</v>
      </c>
      <c r="H57" s="7"/>
      <c r="I57" s="22" t="s">
        <v>137</v>
      </c>
      <c r="J57" s="23"/>
      <c r="K57" s="23"/>
      <c r="L57" s="23"/>
      <c r="M57" s="23"/>
      <c r="N57" s="23"/>
      <c r="O57" s="23"/>
      <c r="P57" s="24"/>
    </row>
    <row r="58" ht="18.75" customHeight="1" spans="1:16">
      <c r="A58" s="18" t="s">
        <v>138</v>
      </c>
      <c r="B58" s="19">
        <v>-52025752.05</v>
      </c>
      <c r="C58" s="20">
        <f t="shared" si="0"/>
        <v>-0.0974202947975464</v>
      </c>
      <c r="D58" s="19">
        <v>-36644798.7</v>
      </c>
      <c r="E58" s="20">
        <f t="shared" si="1"/>
        <v>-0.0978967152536963</v>
      </c>
      <c r="F58" s="20">
        <v>0</v>
      </c>
      <c r="G58" s="20">
        <v>0</v>
      </c>
      <c r="H58" s="7"/>
      <c r="I58" s="25" t="s">
        <v>67</v>
      </c>
      <c r="J58" s="24"/>
      <c r="K58" s="26" t="s">
        <v>68</v>
      </c>
      <c r="L58" s="24"/>
      <c r="M58" s="27" t="s">
        <v>139</v>
      </c>
      <c r="N58" s="24"/>
      <c r="O58" s="25" t="s">
        <v>140</v>
      </c>
      <c r="P58" s="24"/>
    </row>
    <row r="59" ht="18.75" customHeight="1" spans="1:16">
      <c r="A59" s="18" t="s">
        <v>141</v>
      </c>
      <c r="B59" s="19">
        <v>-93518835</v>
      </c>
      <c r="C59" s="20">
        <f t="shared" si="0"/>
        <v>-0.175117746804837</v>
      </c>
      <c r="D59" s="19">
        <v>-61356272</v>
      </c>
      <c r="E59" s="20">
        <f t="shared" si="1"/>
        <v>-0.163913507567237</v>
      </c>
      <c r="F59" s="20">
        <v>0</v>
      </c>
      <c r="G59" s="20">
        <v>0</v>
      </c>
      <c r="H59" s="7"/>
      <c r="I59" s="28" t="s">
        <v>134</v>
      </c>
      <c r="J59" s="24"/>
      <c r="K59" s="29">
        <v>185847857</v>
      </c>
      <c r="L59" s="24"/>
      <c r="M59" s="30">
        <v>0.34800752133351</v>
      </c>
      <c r="N59" s="24"/>
      <c r="O59" s="28" t="s">
        <v>225</v>
      </c>
      <c r="P59" s="24"/>
    </row>
    <row r="60" ht="18.75" customHeight="1" spans="1:16">
      <c r="A60" s="18" t="s">
        <v>143</v>
      </c>
      <c r="B60" s="19">
        <v>0</v>
      </c>
      <c r="C60" s="20">
        <f t="shared" si="0"/>
        <v>0</v>
      </c>
      <c r="D60" s="19">
        <v>0</v>
      </c>
      <c r="E60" s="20">
        <f t="shared" si="1"/>
        <v>0</v>
      </c>
      <c r="F60" s="20">
        <v>0</v>
      </c>
      <c r="G60" s="20">
        <v>0</v>
      </c>
      <c r="H60" s="7"/>
      <c r="I60" s="28" t="s">
        <v>141</v>
      </c>
      <c r="J60" s="24"/>
      <c r="K60" s="29">
        <v>93518835</v>
      </c>
      <c r="L60" s="24"/>
      <c r="M60" s="30">
        <v>0.175117746804837</v>
      </c>
      <c r="N60" s="24"/>
      <c r="O60" s="28" t="s">
        <v>142</v>
      </c>
      <c r="P60" s="24"/>
    </row>
    <row r="61" ht="18.75" customHeight="1" spans="1:16">
      <c r="A61" s="18" t="s">
        <v>145</v>
      </c>
      <c r="B61" s="19">
        <v>-5686000</v>
      </c>
      <c r="C61" s="20">
        <f t="shared" si="0"/>
        <v>-0.01064726168084</v>
      </c>
      <c r="D61" s="19">
        <v>-3996000</v>
      </c>
      <c r="E61" s="20">
        <f t="shared" si="1"/>
        <v>-0.0106753287787544</v>
      </c>
      <c r="F61" s="20">
        <v>0</v>
      </c>
      <c r="G61" s="20">
        <v>0</v>
      </c>
      <c r="H61" s="7"/>
      <c r="I61" s="28" t="s">
        <v>138</v>
      </c>
      <c r="J61" s="24"/>
      <c r="K61" s="29">
        <v>52025752.05</v>
      </c>
      <c r="L61" s="24"/>
      <c r="M61" s="30">
        <v>0.0974202947975465</v>
      </c>
      <c r="N61" s="24"/>
      <c r="O61" s="28" t="s">
        <v>142</v>
      </c>
      <c r="P61" s="24"/>
    </row>
    <row r="62" ht="18.75" customHeight="1" spans="1:16">
      <c r="A62" s="31" t="s">
        <v>45</v>
      </c>
      <c r="B62" s="32">
        <v>64877744.7</v>
      </c>
      <c r="C62" s="33">
        <f t="shared" si="0"/>
        <v>0.121486163398458</v>
      </c>
      <c r="D62" s="32">
        <v>46253319.19</v>
      </c>
      <c r="E62" s="33">
        <f t="shared" si="1"/>
        <v>0.123565913278758</v>
      </c>
      <c r="F62" s="33">
        <v>0.601422996830707</v>
      </c>
      <c r="G62" s="33">
        <v>0.876705235966809</v>
      </c>
      <c r="H62" s="7"/>
      <c r="I62" s="28" t="s">
        <v>145</v>
      </c>
      <c r="J62" s="24"/>
      <c r="K62" s="29">
        <v>5686000</v>
      </c>
      <c r="L62" s="24"/>
      <c r="M62" s="30">
        <v>0.01064726168084</v>
      </c>
      <c r="N62" s="24"/>
      <c r="O62" s="28" t="s">
        <v>144</v>
      </c>
      <c r="P62" s="24"/>
    </row>
    <row r="63" ht="19.5" customHeight="1" spans="1:16">
      <c r="A63" s="22" t="s">
        <v>146</v>
      </c>
      <c r="B63" s="23"/>
      <c r="C63" s="23"/>
      <c r="D63" s="23"/>
      <c r="E63" s="23"/>
      <c r="F63" s="23"/>
      <c r="G63" s="24"/>
      <c r="H63" s="7"/>
      <c r="I63" s="28" t="s">
        <v>136</v>
      </c>
      <c r="J63" s="24"/>
      <c r="K63" s="29">
        <v>810000</v>
      </c>
      <c r="L63" s="24"/>
      <c r="M63" s="30">
        <v>0.00151675729185375</v>
      </c>
      <c r="N63" s="24"/>
      <c r="O63" s="28" t="s">
        <v>144</v>
      </c>
      <c r="P63" s="24"/>
    </row>
    <row r="64" ht="19.5" customHeight="1" spans="1:16">
      <c r="A64" s="25" t="s">
        <v>67</v>
      </c>
      <c r="B64" s="24"/>
      <c r="C64" s="25" t="s">
        <v>122</v>
      </c>
      <c r="D64" s="24"/>
      <c r="E64" s="27" t="s">
        <v>139</v>
      </c>
      <c r="F64" s="25" t="s">
        <v>123</v>
      </c>
      <c r="G64" s="25" t="s">
        <v>140</v>
      </c>
      <c r="H64" s="7"/>
      <c r="I64" s="34" t="s">
        <v>148</v>
      </c>
      <c r="J64" s="24"/>
      <c r="K64" s="35">
        <v>337888444.05</v>
      </c>
      <c r="L64" s="24"/>
      <c r="M64" s="36">
        <f>IFERROR(K64/$B$53,0)</f>
        <v>0.632709581908586</v>
      </c>
      <c r="N64" s="24"/>
      <c r="O64" s="34" t="s">
        <v>149</v>
      </c>
      <c r="P64" s="24"/>
    </row>
    <row r="65" ht="19.5" customHeight="1" spans="1:17">
      <c r="A65" s="28" t="s">
        <v>134</v>
      </c>
      <c r="B65" s="24"/>
      <c r="C65" s="29">
        <v>185847857</v>
      </c>
      <c r="D65" s="24"/>
      <c r="E65" s="30">
        <v>0.34800752133351</v>
      </c>
      <c r="F65" s="37">
        <v>131588351</v>
      </c>
      <c r="G65" s="28" t="s">
        <v>225</v>
      </c>
      <c r="H65" s="7"/>
      <c r="I65" s="7"/>
      <c r="J65" s="7"/>
      <c r="K65" s="7"/>
      <c r="L65" s="7"/>
      <c r="M65" s="7"/>
      <c r="N65" s="7"/>
      <c r="O65" s="7"/>
      <c r="P65" s="7"/>
    </row>
    <row r="66" ht="19.5" customHeight="1" spans="1:17">
      <c r="A66" s="28" t="s">
        <v>141</v>
      </c>
      <c r="B66" s="24"/>
      <c r="C66" s="29">
        <v>93518835</v>
      </c>
      <c r="D66" s="24"/>
      <c r="E66" s="30">
        <v>0.175117746804837</v>
      </c>
      <c r="F66" s="37">
        <v>61356272</v>
      </c>
      <c r="G66" s="28" t="s">
        <v>142</v>
      </c>
      <c r="H66" s="7"/>
      <c r="I66" s="7"/>
      <c r="J66" s="7"/>
      <c r="K66" s="7"/>
      <c r="L66" s="7"/>
      <c r="M66" s="7"/>
      <c r="N66" s="7"/>
      <c r="O66" s="7"/>
      <c r="P66" s="7"/>
    </row>
    <row r="67" ht="19.5" customHeight="1" spans="1:17">
      <c r="A67" s="28" t="s">
        <v>240</v>
      </c>
      <c r="B67" s="24"/>
      <c r="C67" s="29">
        <v>11741561</v>
      </c>
      <c r="D67" s="24"/>
      <c r="E67" s="30">
        <v>0.0219865410672785</v>
      </c>
      <c r="F67" s="37">
        <v>8401212</v>
      </c>
      <c r="G67" s="28" t="s">
        <v>241</v>
      </c>
      <c r="H67" s="7"/>
      <c r="I67" s="7"/>
      <c r="J67" s="7"/>
      <c r="K67" s="7"/>
      <c r="L67" s="7"/>
      <c r="M67" s="7"/>
      <c r="N67" s="7"/>
      <c r="O67" s="7"/>
      <c r="P67" s="7"/>
    </row>
    <row r="68" ht="21.75" customHeight="1" spans="1:17">
      <c r="A68" s="47" t="s">
        <v>150</v>
      </c>
    </row>
    <row r="69" ht="30" customHeight="1" spans="1:17">
      <c r="A69" s="16" t="s">
        <v>62</v>
      </c>
      <c r="B69" s="38" t="s">
        <v>151</v>
      </c>
      <c r="C69" s="38" t="s">
        <v>152</v>
      </c>
      <c r="D69" s="38" t="s">
        <v>153</v>
      </c>
      <c r="E69" s="38" t="s">
        <v>154</v>
      </c>
      <c r="F69" s="39" t="s">
        <v>155</v>
      </c>
      <c r="G69" s="38" t="s">
        <v>130</v>
      </c>
      <c r="H69" s="38" t="s">
        <v>134</v>
      </c>
      <c r="I69" s="38" t="s">
        <v>156</v>
      </c>
      <c r="J69" s="38" t="s">
        <v>138</v>
      </c>
      <c r="K69" s="38" t="s">
        <v>157</v>
      </c>
      <c r="L69" s="38" t="s">
        <v>147</v>
      </c>
      <c r="M69" s="38" t="s">
        <v>158</v>
      </c>
      <c r="N69" s="38" t="s">
        <v>145</v>
      </c>
      <c r="O69" s="38" t="s">
        <v>159</v>
      </c>
      <c r="P69" s="38" t="s">
        <v>45</v>
      </c>
      <c r="Q69" s="39" t="s">
        <v>46</v>
      </c>
    </row>
    <row r="70" ht="18.75" customHeight="1" spans="1:17">
      <c r="A70" s="40" t="s">
        <v>70</v>
      </c>
      <c r="B70" s="19">
        <v>59344000</v>
      </c>
      <c r="C70" s="19">
        <v>42243000</v>
      </c>
      <c r="D70" s="19">
        <v>32451749</v>
      </c>
      <c r="E70" s="19">
        <v>143</v>
      </c>
      <c r="F70" s="20">
        <v>0.160839160839161</v>
      </c>
      <c r="G70" s="19">
        <v>10283574.48</v>
      </c>
      <c r="H70" s="19">
        <v>14378688</v>
      </c>
      <c r="I70" s="19">
        <v>180000</v>
      </c>
      <c r="J70" s="19">
        <v>4084210.65</v>
      </c>
      <c r="K70" s="19">
        <v>9180000</v>
      </c>
      <c r="L70" s="19">
        <v>0</v>
      </c>
      <c r="M70" s="19">
        <v>0</v>
      </c>
      <c r="N70" s="19">
        <v>450000</v>
      </c>
      <c r="O70" s="19">
        <f t="shared" ref="O70:O81" si="2">SUM(G70:N70)</f>
        <v>38556473.13</v>
      </c>
      <c r="P70" s="19">
        <v>3686526.87</v>
      </c>
      <c r="Q70" s="41">
        <f t="shared" ref="Q70:Q81" si="3">IFERROR(P70/C70,0)</f>
        <v>0.0872695327036432</v>
      </c>
    </row>
    <row r="71" ht="18.75" customHeight="1" spans="1:17">
      <c r="A71" s="40" t="s">
        <v>72</v>
      </c>
      <c r="B71" s="19">
        <v>34215000</v>
      </c>
      <c r="C71" s="19">
        <v>25336000</v>
      </c>
      <c r="D71" s="19">
        <v>30426696</v>
      </c>
      <c r="E71" s="19">
        <v>92</v>
      </c>
      <c r="F71" s="20">
        <v>0.130434782608696</v>
      </c>
      <c r="G71" s="19">
        <v>5801955.23</v>
      </c>
      <c r="H71" s="19">
        <v>8712662</v>
      </c>
      <c r="I71" s="19">
        <v>30000</v>
      </c>
      <c r="J71" s="19">
        <v>2447956.05</v>
      </c>
      <c r="K71" s="19">
        <v>5144467</v>
      </c>
      <c r="L71" s="19">
        <v>0</v>
      </c>
      <c r="M71" s="19">
        <v>0</v>
      </c>
      <c r="N71" s="19">
        <v>278000</v>
      </c>
      <c r="O71" s="19">
        <f t="shared" si="2"/>
        <v>22415040.28</v>
      </c>
      <c r="P71" s="19">
        <v>2920959.72</v>
      </c>
      <c r="Q71" s="41">
        <f t="shared" si="3"/>
        <v>0.115288905904642</v>
      </c>
    </row>
    <row r="72" ht="18.75" customHeight="1" spans="1:17">
      <c r="A72" s="40" t="s">
        <v>74</v>
      </c>
      <c r="B72" s="19">
        <v>44633000</v>
      </c>
      <c r="C72" s="19">
        <v>33000000</v>
      </c>
      <c r="D72" s="19">
        <v>25646400</v>
      </c>
      <c r="E72" s="19">
        <v>103</v>
      </c>
      <c r="F72" s="20">
        <v>0.16504854368932</v>
      </c>
      <c r="G72" s="19">
        <v>7580530.65</v>
      </c>
      <c r="H72" s="19">
        <v>11365809</v>
      </c>
      <c r="I72" s="19">
        <v>60000</v>
      </c>
      <c r="J72" s="19">
        <v>3182668.95</v>
      </c>
      <c r="K72" s="19">
        <v>6612758</v>
      </c>
      <c r="L72" s="19">
        <v>0</v>
      </c>
      <c r="M72" s="19">
        <v>0</v>
      </c>
      <c r="N72" s="19">
        <v>338000</v>
      </c>
      <c r="O72" s="19">
        <f t="shared" si="2"/>
        <v>29139766.6</v>
      </c>
      <c r="P72" s="19">
        <v>3860233.4</v>
      </c>
      <c r="Q72" s="41">
        <f t="shared" si="3"/>
        <v>0.11697676969697</v>
      </c>
    </row>
    <row r="73" ht="18.75" customHeight="1" spans="1:17">
      <c r="A73" s="40" t="s">
        <v>76</v>
      </c>
      <c r="B73" s="19">
        <v>30872000</v>
      </c>
      <c r="C73" s="19">
        <v>22810000</v>
      </c>
      <c r="D73" s="19">
        <v>23570000</v>
      </c>
      <c r="E73" s="19">
        <v>84</v>
      </c>
      <c r="F73" s="20">
        <v>0.178571428571429</v>
      </c>
      <c r="G73" s="19">
        <v>5169655.62</v>
      </c>
      <c r="H73" s="19">
        <v>7665688</v>
      </c>
      <c r="I73" s="19">
        <v>30000</v>
      </c>
      <c r="J73" s="19">
        <v>2166371.25</v>
      </c>
      <c r="K73" s="19">
        <v>4883479</v>
      </c>
      <c r="L73" s="19">
        <v>0</v>
      </c>
      <c r="M73" s="19">
        <v>0</v>
      </c>
      <c r="N73" s="19">
        <v>240000</v>
      </c>
      <c r="O73" s="19">
        <f t="shared" si="2"/>
        <v>20155193.87</v>
      </c>
      <c r="P73" s="19">
        <v>2654806.13</v>
      </c>
      <c r="Q73" s="41">
        <f t="shared" si="3"/>
        <v>0.116387818062253</v>
      </c>
    </row>
    <row r="74" ht="18.75" customHeight="1" spans="1:17">
      <c r="A74" s="40" t="s">
        <v>78</v>
      </c>
      <c r="B74" s="19">
        <v>48691000</v>
      </c>
      <c r="C74" s="19">
        <v>36324000</v>
      </c>
      <c r="D74" s="19">
        <v>21305000</v>
      </c>
      <c r="E74" s="19">
        <v>102</v>
      </c>
      <c r="F74" s="20">
        <v>0.0490196078431373</v>
      </c>
      <c r="G74" s="19">
        <v>8399836.16</v>
      </c>
      <c r="H74" s="19">
        <v>12136659</v>
      </c>
      <c r="I74" s="19">
        <v>60000</v>
      </c>
      <c r="J74" s="19">
        <v>3499746.45</v>
      </c>
      <c r="K74" s="19">
        <v>6341859</v>
      </c>
      <c r="L74" s="19">
        <v>0</v>
      </c>
      <c r="M74" s="19">
        <v>0</v>
      </c>
      <c r="N74" s="19">
        <v>384000</v>
      </c>
      <c r="O74" s="19">
        <f t="shared" si="2"/>
        <v>30822100.61</v>
      </c>
      <c r="P74" s="19">
        <v>5501899.39</v>
      </c>
      <c r="Q74" s="41">
        <f t="shared" si="3"/>
        <v>0.151467332617553</v>
      </c>
    </row>
    <row r="75" ht="18.75" customHeight="1" spans="1:17">
      <c r="A75" s="40" t="s">
        <v>80</v>
      </c>
      <c r="B75" s="19">
        <v>37012000</v>
      </c>
      <c r="C75" s="19">
        <v>26361000</v>
      </c>
      <c r="D75" s="19">
        <v>132586301</v>
      </c>
      <c r="E75" s="19">
        <v>82</v>
      </c>
      <c r="F75" s="20">
        <v>0.146341463414634</v>
      </c>
      <c r="G75" s="19">
        <v>6267992.83</v>
      </c>
      <c r="H75" s="19">
        <v>9024402</v>
      </c>
      <c r="I75" s="19">
        <v>90000</v>
      </c>
      <c r="J75" s="19">
        <v>2659193.4</v>
      </c>
      <c r="K75" s="19">
        <v>5071990</v>
      </c>
      <c r="L75" s="19">
        <v>0</v>
      </c>
      <c r="M75" s="19">
        <v>0</v>
      </c>
      <c r="N75" s="19">
        <v>258000</v>
      </c>
      <c r="O75" s="19">
        <f t="shared" si="2"/>
        <v>23371578.23</v>
      </c>
      <c r="P75" s="19">
        <v>2989421.77</v>
      </c>
      <c r="Q75" s="41">
        <f t="shared" si="3"/>
        <v>0.113403200561435</v>
      </c>
    </row>
    <row r="76" ht="18.75" customHeight="1" spans="1:17">
      <c r="A76" s="40" t="s">
        <v>82</v>
      </c>
      <c r="B76" s="19">
        <v>284124000</v>
      </c>
      <c r="C76" s="19">
        <v>174603024</v>
      </c>
      <c r="D76" s="19">
        <v>33278754</v>
      </c>
      <c r="E76" s="19">
        <v>579</v>
      </c>
      <c r="F76" s="20">
        <v>0.10880829015544</v>
      </c>
      <c r="G76" s="19">
        <v>47959478.55</v>
      </c>
      <c r="H76" s="19">
        <v>61621376</v>
      </c>
      <c r="I76" s="19">
        <v>150000</v>
      </c>
      <c r="J76" s="19">
        <v>17226298.2</v>
      </c>
      <c r="K76" s="19">
        <v>23436000</v>
      </c>
      <c r="L76" s="19">
        <v>0</v>
      </c>
      <c r="M76" s="19">
        <v>0</v>
      </c>
      <c r="N76" s="19">
        <v>2016000</v>
      </c>
      <c r="O76" s="19">
        <f t="shared" si="2"/>
        <v>152409152.75</v>
      </c>
      <c r="P76" s="19">
        <v>22193871.25</v>
      </c>
      <c r="Q76" s="41">
        <f t="shared" si="3"/>
        <v>0.127110463161279</v>
      </c>
    </row>
    <row r="77" ht="18.75" customHeight="1" spans="1:17">
      <c r="A77" s="40" t="s">
        <v>84</v>
      </c>
      <c r="B77" s="19">
        <v>55410000</v>
      </c>
      <c r="C77" s="19">
        <v>41063000</v>
      </c>
      <c r="D77" s="19">
        <v>27694300</v>
      </c>
      <c r="E77" s="19">
        <v>132</v>
      </c>
      <c r="F77" s="20">
        <v>0.113636363636364</v>
      </c>
      <c r="G77" s="19">
        <v>9515117.84</v>
      </c>
      <c r="H77" s="19">
        <v>14407128</v>
      </c>
      <c r="I77" s="19">
        <v>120000</v>
      </c>
      <c r="J77" s="19">
        <v>3945427.65</v>
      </c>
      <c r="K77" s="19">
        <v>8503471</v>
      </c>
      <c r="L77" s="19">
        <v>0</v>
      </c>
      <c r="M77" s="19">
        <v>0</v>
      </c>
      <c r="N77" s="19">
        <v>422000</v>
      </c>
      <c r="O77" s="19">
        <f t="shared" si="2"/>
        <v>36913144.49</v>
      </c>
      <c r="P77" s="19">
        <v>4149855.51</v>
      </c>
      <c r="Q77" s="41">
        <f t="shared" si="3"/>
        <v>0.101060699656625</v>
      </c>
    </row>
    <row r="78" ht="18.75" customHeight="1" spans="1:17">
      <c r="A78" s="40" t="s">
        <v>85</v>
      </c>
      <c r="B78" s="19">
        <v>49530000</v>
      </c>
      <c r="C78" s="19">
        <v>37056000</v>
      </c>
      <c r="D78" s="19">
        <v>23114100</v>
      </c>
      <c r="E78" s="19">
        <v>105</v>
      </c>
      <c r="F78" s="20">
        <v>0.114285714285714</v>
      </c>
      <c r="G78" s="19">
        <v>8575816.01</v>
      </c>
      <c r="H78" s="19">
        <v>12998664</v>
      </c>
      <c r="I78" s="19">
        <v>30000</v>
      </c>
      <c r="J78" s="19">
        <v>3584181.45</v>
      </c>
      <c r="K78" s="19">
        <v>7066898</v>
      </c>
      <c r="L78" s="19">
        <v>0</v>
      </c>
      <c r="M78" s="19">
        <v>0</v>
      </c>
      <c r="N78" s="19">
        <v>364000</v>
      </c>
      <c r="O78" s="19">
        <f t="shared" si="2"/>
        <v>32619559.46</v>
      </c>
      <c r="P78" s="19">
        <v>4436440.54</v>
      </c>
      <c r="Q78" s="41">
        <f t="shared" si="3"/>
        <v>0.119722596610535</v>
      </c>
    </row>
    <row r="79" ht="18.75" customHeight="1" spans="1:17">
      <c r="A79" s="40" t="s">
        <v>86</v>
      </c>
      <c r="B79" s="19">
        <v>45451000</v>
      </c>
      <c r="C79" s="19">
        <v>33781000</v>
      </c>
      <c r="D79" s="19">
        <v>36313060</v>
      </c>
      <c r="E79" s="19">
        <v>115</v>
      </c>
      <c r="F79" s="20">
        <v>0.156521739130435</v>
      </c>
      <c r="G79" s="19">
        <v>7557198.37</v>
      </c>
      <c r="H79" s="19">
        <v>11848843</v>
      </c>
      <c r="I79" s="19">
        <v>60000</v>
      </c>
      <c r="J79" s="19">
        <v>3264994.8</v>
      </c>
      <c r="K79" s="19">
        <v>6382049</v>
      </c>
      <c r="L79" s="19">
        <v>0</v>
      </c>
      <c r="M79" s="19">
        <v>0</v>
      </c>
      <c r="N79" s="19">
        <v>336000</v>
      </c>
      <c r="O79" s="19">
        <f t="shared" si="2"/>
        <v>29449085.17</v>
      </c>
      <c r="P79" s="19">
        <v>4331914.83</v>
      </c>
      <c r="Q79" s="41">
        <f t="shared" si="3"/>
        <v>0.128235245552234</v>
      </c>
    </row>
    <row r="80" ht="18.75" customHeight="1" spans="1:17">
      <c r="A80" s="40" t="s">
        <v>87</v>
      </c>
      <c r="B80" s="19">
        <v>26895000</v>
      </c>
      <c r="C80" s="19">
        <v>20467000</v>
      </c>
      <c r="D80" s="19">
        <v>22713600</v>
      </c>
      <c r="E80" s="19">
        <v>65</v>
      </c>
      <c r="F80" s="20">
        <v>0.184615384615385</v>
      </c>
      <c r="G80" s="19">
        <v>4682420.45</v>
      </c>
      <c r="H80" s="19">
        <v>7064057</v>
      </c>
      <c r="I80" s="19">
        <v>0</v>
      </c>
      <c r="J80" s="19">
        <v>2009785.35</v>
      </c>
      <c r="K80" s="19">
        <v>3986551</v>
      </c>
      <c r="L80" s="19">
        <v>0</v>
      </c>
      <c r="M80" s="19">
        <v>0</v>
      </c>
      <c r="N80" s="19">
        <v>212000</v>
      </c>
      <c r="O80" s="19">
        <f t="shared" si="2"/>
        <v>17954813.8</v>
      </c>
      <c r="P80" s="19">
        <v>2512186.2</v>
      </c>
      <c r="Q80" s="41">
        <f t="shared" si="3"/>
        <v>0.122743254995847</v>
      </c>
    </row>
    <row r="81" ht="18.75" customHeight="1" spans="1:17">
      <c r="A81" s="40" t="s">
        <v>88</v>
      </c>
      <c r="B81" s="19">
        <v>55186000</v>
      </c>
      <c r="C81" s="19">
        <v>40990000</v>
      </c>
      <c r="D81" s="19">
        <v>24624800</v>
      </c>
      <c r="E81" s="19">
        <v>115</v>
      </c>
      <c r="F81" s="20">
        <v>0.121739130434783</v>
      </c>
      <c r="G81" s="19">
        <v>9474259.06</v>
      </c>
      <c r="H81" s="19">
        <v>14623881</v>
      </c>
      <c r="I81" s="19">
        <v>0</v>
      </c>
      <c r="J81" s="19">
        <v>3954917.85</v>
      </c>
      <c r="K81" s="19">
        <v>6909313</v>
      </c>
      <c r="L81" s="19">
        <v>0</v>
      </c>
      <c r="M81" s="19">
        <v>0</v>
      </c>
      <c r="N81" s="19">
        <v>388000</v>
      </c>
      <c r="O81" s="19">
        <f t="shared" si="2"/>
        <v>35350370.91</v>
      </c>
      <c r="P81" s="19">
        <v>5639629.09</v>
      </c>
      <c r="Q81" s="41">
        <f t="shared" si="3"/>
        <v>0.137585486460112</v>
      </c>
    </row>
    <row r="82" ht="18.75" hidden="1" customHeight="1" spans="1:17">
      <c r="A82" s="40"/>
      <c r="B82" s="42"/>
      <c r="C82" s="42"/>
      <c r="D82" s="42"/>
      <c r="E82" s="43"/>
      <c r="F82" s="42"/>
      <c r="G82" s="42"/>
      <c r="H82" s="42"/>
      <c r="I82" s="42"/>
      <c r="J82" s="42"/>
      <c r="K82" s="42"/>
      <c r="L82" s="42"/>
      <c r="M82" s="42"/>
      <c r="N82" s="42"/>
      <c r="O82" s="43"/>
      <c r="P82" s="42"/>
    </row>
    <row r="83" ht="18.75" hidden="1" customHeight="1" spans="1:17">
      <c r="A83" s="40"/>
      <c r="B83" s="42"/>
      <c r="C83" s="42"/>
      <c r="D83" s="42"/>
      <c r="E83" s="43"/>
      <c r="F83" s="42"/>
      <c r="G83" s="42"/>
      <c r="H83" s="42"/>
      <c r="I83" s="42"/>
      <c r="J83" s="42"/>
      <c r="K83" s="42"/>
      <c r="L83" s="42"/>
      <c r="M83" s="42"/>
      <c r="N83" s="42"/>
      <c r="O83" s="43"/>
      <c r="P83" s="42"/>
    </row>
    <row r="84" ht="18.75" hidden="1" customHeight="1" spans="1:17">
      <c r="A84" s="40"/>
      <c r="B84" s="42"/>
      <c r="C84" s="42"/>
      <c r="D84" s="42"/>
      <c r="E84" s="43"/>
      <c r="F84" s="42"/>
      <c r="G84" s="42"/>
      <c r="H84" s="42"/>
      <c r="I84" s="42"/>
      <c r="J84" s="42"/>
      <c r="K84" s="42"/>
      <c r="L84" s="42"/>
      <c r="M84" s="42"/>
      <c r="N84" s="42"/>
      <c r="O84" s="43"/>
      <c r="P84" s="42"/>
    </row>
    <row r="85" ht="18.75" hidden="1" customHeight="1" spans="1:17">
      <c r="A85" s="40"/>
      <c r="B85" s="42"/>
      <c r="C85" s="42"/>
      <c r="D85" s="42"/>
      <c r="E85" s="43"/>
      <c r="F85" s="42"/>
      <c r="G85" s="42"/>
      <c r="H85" s="42"/>
      <c r="I85" s="42"/>
      <c r="J85" s="42"/>
      <c r="K85" s="42"/>
      <c r="L85" s="42"/>
      <c r="M85" s="42"/>
      <c r="N85" s="42"/>
      <c r="O85" s="43"/>
      <c r="P85" s="42"/>
    </row>
    <row r="86" ht="18.75" hidden="1" customHeight="1" spans="1:17">
      <c r="A86" s="40"/>
      <c r="B86" s="42"/>
      <c r="C86" s="42"/>
      <c r="D86" s="42"/>
      <c r="E86" s="43"/>
      <c r="F86" s="42"/>
      <c r="G86" s="42"/>
      <c r="H86" s="42"/>
      <c r="I86" s="42"/>
      <c r="J86" s="42"/>
      <c r="K86" s="42"/>
      <c r="L86" s="42"/>
      <c r="M86" s="42"/>
      <c r="N86" s="42"/>
      <c r="O86" s="43"/>
      <c r="P86" s="42"/>
    </row>
    <row r="87" ht="18.75" hidden="1" customHeight="1" spans="1:17">
      <c r="A87" s="40"/>
      <c r="B87" s="42"/>
      <c r="C87" s="42"/>
      <c r="D87" s="42"/>
      <c r="E87" s="43"/>
      <c r="F87" s="42"/>
      <c r="G87" s="42"/>
      <c r="H87" s="42"/>
      <c r="I87" s="42"/>
      <c r="J87" s="42"/>
      <c r="K87" s="42"/>
      <c r="L87" s="42"/>
      <c r="M87" s="42"/>
      <c r="N87" s="42"/>
      <c r="O87" s="43"/>
      <c r="P87" s="42"/>
    </row>
    <row r="88" ht="18.75" hidden="1" customHeight="1" spans="1:17">
      <c r="A88" s="40"/>
      <c r="B88" s="42"/>
      <c r="C88" s="42"/>
      <c r="D88" s="42"/>
      <c r="E88" s="43"/>
      <c r="F88" s="42"/>
      <c r="G88" s="42"/>
      <c r="H88" s="42"/>
      <c r="I88" s="42"/>
      <c r="J88" s="42"/>
      <c r="K88" s="42"/>
      <c r="L88" s="42"/>
      <c r="M88" s="42"/>
      <c r="N88" s="42"/>
      <c r="O88" s="43"/>
      <c r="P88" s="42"/>
    </row>
    <row r="89" ht="18.75" hidden="1" customHeight="1" spans="1:17">
      <c r="A89" s="40"/>
      <c r="B89" s="42"/>
      <c r="C89" s="42"/>
      <c r="D89" s="42"/>
      <c r="E89" s="43"/>
      <c r="F89" s="42"/>
      <c r="G89" s="42"/>
      <c r="H89" s="42"/>
      <c r="I89" s="42"/>
      <c r="J89" s="42"/>
      <c r="K89" s="42"/>
      <c r="L89" s="42"/>
      <c r="M89" s="42"/>
      <c r="N89" s="42"/>
      <c r="O89" s="43"/>
      <c r="P89" s="42"/>
    </row>
    <row r="90" ht="18.75" hidden="1" customHeight="1" spans="1:17">
      <c r="A90" s="40"/>
      <c r="B90" s="42"/>
      <c r="C90" s="42"/>
      <c r="D90" s="42"/>
      <c r="E90" s="43"/>
      <c r="F90" s="42"/>
      <c r="G90" s="42"/>
      <c r="H90" s="42"/>
      <c r="I90" s="42"/>
      <c r="J90" s="42"/>
      <c r="K90" s="42"/>
      <c r="L90" s="42"/>
      <c r="M90" s="42"/>
      <c r="N90" s="42"/>
      <c r="O90" s="43"/>
      <c r="P90" s="42"/>
    </row>
    <row r="91" ht="18.75" hidden="1" customHeight="1" spans="1:17">
      <c r="A91" s="40"/>
      <c r="B91" s="42"/>
      <c r="C91" s="42"/>
      <c r="D91" s="42"/>
      <c r="E91" s="43"/>
      <c r="F91" s="42"/>
      <c r="G91" s="42"/>
      <c r="H91" s="42"/>
      <c r="I91" s="42"/>
      <c r="J91" s="42"/>
      <c r="K91" s="42"/>
      <c r="L91" s="42"/>
      <c r="M91" s="42"/>
      <c r="N91" s="42"/>
      <c r="O91" s="43"/>
      <c r="P91" s="42"/>
    </row>
    <row r="92" ht="18.75" hidden="1" customHeight="1" spans="1:17">
      <c r="A92" s="40"/>
      <c r="B92" s="42"/>
      <c r="C92" s="42"/>
      <c r="D92" s="42"/>
      <c r="E92" s="43"/>
      <c r="F92" s="42"/>
      <c r="G92" s="42"/>
      <c r="H92" s="42"/>
      <c r="I92" s="42"/>
      <c r="J92" s="42"/>
      <c r="K92" s="42"/>
      <c r="L92" s="42"/>
      <c r="M92" s="42"/>
      <c r="N92" s="42"/>
      <c r="O92" s="43"/>
      <c r="P92" s="42"/>
    </row>
    <row r="93" ht="18.75" hidden="1" customHeight="1" spans="1:17">
      <c r="A93" s="40"/>
      <c r="B93" s="42"/>
      <c r="C93" s="42"/>
      <c r="D93" s="42"/>
      <c r="E93" s="43"/>
      <c r="F93" s="42"/>
      <c r="G93" s="42"/>
      <c r="H93" s="42"/>
      <c r="I93" s="42"/>
      <c r="J93" s="42"/>
      <c r="K93" s="42"/>
      <c r="L93" s="42"/>
      <c r="M93" s="42"/>
      <c r="N93" s="42"/>
      <c r="O93" s="43"/>
      <c r="P93" s="42"/>
    </row>
    <row r="94" ht="18.75" hidden="1" customHeight="1" spans="1:17">
      <c r="A94" s="40"/>
      <c r="B94" s="42"/>
      <c r="C94" s="42"/>
      <c r="D94" s="42"/>
      <c r="E94" s="43"/>
      <c r="F94" s="42"/>
      <c r="G94" s="42"/>
      <c r="H94" s="42"/>
      <c r="I94" s="42"/>
      <c r="J94" s="42"/>
      <c r="K94" s="42"/>
      <c r="L94" s="42"/>
      <c r="M94" s="42"/>
      <c r="N94" s="42"/>
      <c r="O94" s="43"/>
      <c r="P94" s="42"/>
    </row>
    <row r="95" ht="18.75" hidden="1" customHeight="1" spans="1:17">
      <c r="A95" s="40"/>
      <c r="B95" s="42"/>
      <c r="C95" s="42"/>
      <c r="D95" s="42"/>
      <c r="E95" s="43"/>
      <c r="F95" s="42"/>
      <c r="G95" s="42"/>
      <c r="H95" s="42"/>
      <c r="I95" s="42"/>
      <c r="J95" s="42"/>
      <c r="K95" s="42"/>
      <c r="L95" s="42"/>
      <c r="M95" s="42"/>
      <c r="N95" s="42"/>
      <c r="O95" s="43"/>
      <c r="P95" s="42"/>
    </row>
    <row r="96" ht="18.75" hidden="1" customHeight="1" spans="1:17">
      <c r="A96" s="40"/>
      <c r="B96" s="42"/>
      <c r="C96" s="42"/>
      <c r="D96" s="42"/>
      <c r="E96" s="43"/>
      <c r="F96" s="42"/>
      <c r="G96" s="42"/>
      <c r="H96" s="42"/>
      <c r="I96" s="42"/>
      <c r="J96" s="42"/>
      <c r="K96" s="42"/>
      <c r="L96" s="42"/>
      <c r="M96" s="42"/>
      <c r="N96" s="42"/>
      <c r="O96" s="43"/>
      <c r="P96" s="42"/>
    </row>
    <row r="97" ht="18.75" hidden="1" customHeight="1" spans="1:16">
      <c r="A97" s="40"/>
      <c r="B97" s="42"/>
      <c r="C97" s="42"/>
      <c r="D97" s="42"/>
      <c r="E97" s="43"/>
      <c r="F97" s="42"/>
      <c r="G97" s="42"/>
      <c r="H97" s="42"/>
      <c r="I97" s="42"/>
      <c r="J97" s="42"/>
      <c r="K97" s="42"/>
      <c r="L97" s="42"/>
      <c r="M97" s="42"/>
      <c r="N97" s="42"/>
      <c r="O97" s="43"/>
      <c r="P97" s="42"/>
    </row>
    <row r="98" ht="15" customHeight="1" spans="1:16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</row>
    <row r="99" ht="15" customHeight="1" spans="1:16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</row>
    <row r="100" ht="21.75" customHeight="1" spans="1:16">
      <c r="A100" s="47" t="s">
        <v>160</v>
      </c>
    </row>
    <row r="101" ht="27.75" customHeight="1" spans="1:16">
      <c r="A101" s="16" t="s">
        <v>90</v>
      </c>
      <c r="B101" s="16" t="s">
        <v>91</v>
      </c>
      <c r="C101" s="16" t="s">
        <v>92</v>
      </c>
      <c r="D101" s="16"/>
      <c r="E101" s="16"/>
      <c r="F101" s="16"/>
      <c r="G101" s="16" t="s">
        <v>93</v>
      </c>
      <c r="H101" s="16" t="s">
        <v>94</v>
      </c>
      <c r="I101" s="16"/>
      <c r="J101" s="16" t="s">
        <v>44</v>
      </c>
      <c r="K101" s="16" t="s">
        <v>95</v>
      </c>
      <c r="L101" s="16" t="s">
        <v>96</v>
      </c>
      <c r="M101" s="16"/>
      <c r="N101" s="16"/>
      <c r="O101" s="16"/>
      <c r="P101" s="16"/>
    </row>
    <row r="102" ht="30.75" customHeight="1" spans="1:16">
      <c r="A102" s="44">
        <v>1</v>
      </c>
      <c r="B102" s="45" t="s">
        <v>102</v>
      </c>
      <c r="C102" s="18" t="s">
        <v>98</v>
      </c>
      <c r="G102" s="19">
        <v>110</v>
      </c>
      <c r="H102" s="19">
        <v>40362464.29</v>
      </c>
      <c r="J102" s="20">
        <v>0.0759072439686587</v>
      </c>
      <c r="K102" s="19">
        <v>9.16666666666667</v>
      </c>
      <c r="L102" s="18" t="s">
        <v>99</v>
      </c>
    </row>
    <row r="103" ht="30.75" customHeight="1" spans="1:16">
      <c r="A103" s="44">
        <v>2</v>
      </c>
      <c r="B103" s="45" t="s">
        <v>97</v>
      </c>
      <c r="C103" s="18" t="s">
        <v>98</v>
      </c>
      <c r="G103" s="19">
        <v>100</v>
      </c>
      <c r="H103" s="19">
        <v>36486883.33</v>
      </c>
      <c r="J103" s="20">
        <v>0.0686186733963239</v>
      </c>
      <c r="K103" s="19">
        <v>8.33333333333333</v>
      </c>
      <c r="L103" s="18" t="s">
        <v>99</v>
      </c>
    </row>
    <row r="104" ht="30.75" customHeight="1" spans="1:16">
      <c r="A104" s="44">
        <v>3</v>
      </c>
      <c r="B104" s="45" t="s">
        <v>103</v>
      </c>
      <c r="C104" s="18" t="s">
        <v>104</v>
      </c>
      <c r="G104" s="19">
        <v>88</v>
      </c>
      <c r="H104" s="19">
        <v>31873714.29</v>
      </c>
      <c r="J104" s="20">
        <v>0.059942965558666</v>
      </c>
      <c r="K104" s="19">
        <v>7.33333333333333</v>
      </c>
      <c r="L104" s="18" t="s">
        <v>99</v>
      </c>
    </row>
    <row r="105" ht="30.75" customHeight="1" spans="1:16">
      <c r="A105" s="44">
        <v>4</v>
      </c>
      <c r="B105" s="45" t="s">
        <v>106</v>
      </c>
      <c r="C105" s="18" t="s">
        <v>98</v>
      </c>
      <c r="G105" s="19">
        <v>74</v>
      </c>
      <c r="H105" s="19">
        <v>27289050</v>
      </c>
      <c r="J105" s="20">
        <v>0.0513208648793066</v>
      </c>
      <c r="K105" s="19">
        <v>6.16666666666667</v>
      </c>
      <c r="L105" s="18" t="s">
        <v>99</v>
      </c>
    </row>
    <row r="106" ht="30.75" customHeight="1" spans="1:16">
      <c r="A106" s="44">
        <v>5</v>
      </c>
      <c r="B106" s="45" t="s">
        <v>110</v>
      </c>
      <c r="C106" s="18" t="s">
        <v>101</v>
      </c>
      <c r="G106" s="19">
        <v>95</v>
      </c>
      <c r="H106" s="19">
        <v>19327241.67</v>
      </c>
      <c r="J106" s="20">
        <v>0.0363475737790716</v>
      </c>
      <c r="K106" s="19">
        <v>7.91666666666667</v>
      </c>
      <c r="L106" s="18" t="s">
        <v>99</v>
      </c>
    </row>
    <row r="107" ht="30.75" customHeight="1" spans="1:16">
      <c r="A107" s="44">
        <v>6</v>
      </c>
      <c r="B107" s="45" t="s">
        <v>229</v>
      </c>
      <c r="C107" s="18" t="s">
        <v>98</v>
      </c>
      <c r="G107" s="19">
        <v>49</v>
      </c>
      <c r="H107" s="19">
        <v>17392514.29</v>
      </c>
      <c r="J107" s="20">
        <v>0.0327090490797041</v>
      </c>
      <c r="K107" s="19">
        <v>4.08333333333333</v>
      </c>
      <c r="L107" s="18" t="s">
        <v>107</v>
      </c>
    </row>
    <row r="108" ht="30.75" customHeight="1" spans="1:16">
      <c r="A108" s="44">
        <v>7</v>
      </c>
      <c r="B108" s="45" t="s">
        <v>242</v>
      </c>
      <c r="C108" s="18" t="s">
        <v>98</v>
      </c>
      <c r="G108" s="19">
        <v>46</v>
      </c>
      <c r="H108" s="19">
        <v>16624214.28</v>
      </c>
      <c r="J108" s="20">
        <v>0.0312641537462286</v>
      </c>
      <c r="K108" s="19">
        <v>3.83333333333333</v>
      </c>
      <c r="L108" s="18" t="s">
        <v>107</v>
      </c>
    </row>
    <row r="109" ht="30.75" customHeight="1" spans="1:16">
      <c r="A109" s="44">
        <v>8</v>
      </c>
      <c r="B109" s="45" t="s">
        <v>111</v>
      </c>
      <c r="C109" s="18" t="s">
        <v>101</v>
      </c>
      <c r="G109" s="19">
        <v>77</v>
      </c>
      <c r="H109" s="19">
        <v>15681333.33</v>
      </c>
      <c r="J109" s="20">
        <v>0.029490934604037</v>
      </c>
      <c r="K109" s="19">
        <v>6.41666666666667</v>
      </c>
      <c r="L109" s="18" t="s">
        <v>99</v>
      </c>
    </row>
    <row r="110" ht="30.75" customHeight="1" spans="1:16">
      <c r="A110" s="44">
        <v>9</v>
      </c>
      <c r="B110" s="45" t="s">
        <v>243</v>
      </c>
      <c r="C110" s="18" t="s">
        <v>176</v>
      </c>
      <c r="G110" s="19">
        <v>76</v>
      </c>
      <c r="H110" s="19">
        <v>15161208.33</v>
      </c>
      <c r="J110" s="20">
        <v>0.0285127669930227</v>
      </c>
      <c r="K110" s="19">
        <v>6.33333333333333</v>
      </c>
      <c r="L110" s="18" t="s">
        <v>107</v>
      </c>
    </row>
    <row r="111" ht="30.75" customHeight="1" spans="1:16">
      <c r="A111" s="44">
        <v>10</v>
      </c>
      <c r="B111" s="45" t="s">
        <v>100</v>
      </c>
      <c r="C111" s="18" t="s">
        <v>101</v>
      </c>
      <c r="G111" s="19">
        <v>69</v>
      </c>
      <c r="H111" s="19">
        <v>14034533.34</v>
      </c>
      <c r="J111" s="20">
        <v>0.0263938975224958</v>
      </c>
      <c r="K111" s="19">
        <v>5.75</v>
      </c>
      <c r="L111" s="18" t="s">
        <v>107</v>
      </c>
    </row>
    <row r="112" ht="15" customHeight="1" spans="1:16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</row>
    <row r="113" ht="15" customHeight="1" spans="1:16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</row>
    <row r="114" ht="15" customHeight="1" spans="1:16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</row>
    <row r="115" ht="15" customHeight="1" spans="1:16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</row>
    <row r="116" ht="15" customHeight="1" spans="1: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</row>
    <row r="117" ht="15" customHeight="1" spans="1:16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</row>
    <row r="118" ht="15" customHeight="1" spans="1:16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</row>
    <row r="119" ht="15" customHeight="1" spans="1:16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</row>
    <row r="120" ht="15" customHeight="1" spans="1:16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</row>
    <row r="121" ht="15" customHeight="1" spans="1:16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</row>
    <row r="122" ht="15" customHeight="1" spans="1:16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</row>
    <row r="123" ht="15" customHeight="1" spans="1:16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</row>
    <row r="124" ht="15" customHeight="1" spans="1:16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</row>
    <row r="125" ht="15" customHeight="1" spans="1:16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</row>
    <row r="126" ht="15" customHeight="1" spans="1:1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</row>
    <row r="127" ht="15" customHeight="1" spans="1:16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</row>
    <row r="128" ht="15" customHeight="1" spans="1:16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</row>
    <row r="129" ht="15" customHeight="1" spans="1:16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</row>
    <row r="130" ht="15" customHeight="1" spans="1:16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</row>
    <row r="131" ht="15" customHeight="1" spans="1:16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</row>
    <row r="132" ht="15" customHeight="1" spans="1:16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</row>
    <row r="133" ht="15" customHeight="1" spans="1:16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</row>
    <row r="134" ht="15" customHeight="1" spans="1:16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</row>
    <row r="135" ht="15" customHeight="1" spans="1:16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</row>
    <row r="136" ht="15" customHeight="1" spans="1:1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</row>
    <row r="137" ht="15" customHeight="1" spans="1:16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</row>
    <row r="138" ht="15" customHeight="1" spans="1:16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</row>
    <row r="139" ht="15" customHeight="1" spans="1:16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</row>
  </sheetData>
  <mergeCells count="110">
    <mergeCell ref="A3:C3"/>
    <mergeCell ref="D3:F3"/>
    <mergeCell ref="G3:I3"/>
    <mergeCell ref="J3:L3"/>
    <mergeCell ref="M3:N3"/>
    <mergeCell ref="O3:P3"/>
    <mergeCell ref="A4:P4"/>
    <mergeCell ref="A6:C6"/>
    <mergeCell ref="E6:G6"/>
    <mergeCell ref="I6:K6"/>
    <mergeCell ref="M6:O6"/>
    <mergeCell ref="A9:C9"/>
    <mergeCell ref="E9:G9"/>
    <mergeCell ref="I9:K9"/>
    <mergeCell ref="M9:O9"/>
    <mergeCell ref="A10:C10"/>
    <mergeCell ref="E10:G10"/>
    <mergeCell ref="I10:K10"/>
    <mergeCell ref="M10:O10"/>
    <mergeCell ref="A13:C13"/>
    <mergeCell ref="E13:G13"/>
    <mergeCell ref="I13:K13"/>
    <mergeCell ref="M13:O13"/>
    <mergeCell ref="A15:P15"/>
    <mergeCell ref="A50:P50"/>
    <mergeCell ref="I51:P51"/>
    <mergeCell ref="I52:P52"/>
    <mergeCell ref="I53:P53"/>
    <mergeCell ref="I54:P54"/>
    <mergeCell ref="I55:P55"/>
    <mergeCell ref="I56:P56"/>
    <mergeCell ref="I57:P57"/>
    <mergeCell ref="I58:J58"/>
    <mergeCell ref="K58:L58"/>
    <mergeCell ref="M58:N58"/>
    <mergeCell ref="O58:P58"/>
    <mergeCell ref="I59:J59"/>
    <mergeCell ref="K59:L59"/>
    <mergeCell ref="M59:N59"/>
    <mergeCell ref="O59:P59"/>
    <mergeCell ref="I60:J60"/>
    <mergeCell ref="K60:L60"/>
    <mergeCell ref="M60:N60"/>
    <mergeCell ref="O60:P60"/>
    <mergeCell ref="I61:J61"/>
    <mergeCell ref="K61:L61"/>
    <mergeCell ref="M61:N61"/>
    <mergeCell ref="O61:P61"/>
    <mergeCell ref="I62:J62"/>
    <mergeCell ref="K62:L62"/>
    <mergeCell ref="M62:N62"/>
    <mergeCell ref="O62:P62"/>
    <mergeCell ref="A63:G63"/>
    <mergeCell ref="I63:J63"/>
    <mergeCell ref="K63:L63"/>
    <mergeCell ref="M63:N63"/>
    <mergeCell ref="O63:P63"/>
    <mergeCell ref="A64:B64"/>
    <mergeCell ref="C64:D64"/>
    <mergeCell ref="I64:J64"/>
    <mergeCell ref="K64:L64"/>
    <mergeCell ref="M64:N64"/>
    <mergeCell ref="O64:P64"/>
    <mergeCell ref="A65:B65"/>
    <mergeCell ref="C65:D65"/>
    <mergeCell ref="A66:B66"/>
    <mergeCell ref="C66:D66"/>
    <mergeCell ref="A67:B67"/>
    <mergeCell ref="C67:D67"/>
    <mergeCell ref="A68:P68"/>
    <mergeCell ref="A100:P100"/>
    <mergeCell ref="C102:F102"/>
    <mergeCell ref="H102:I102"/>
    <mergeCell ref="L102:P102"/>
    <mergeCell ref="C103:F103"/>
    <mergeCell ref="H103:I103"/>
    <mergeCell ref="L103:P103"/>
    <mergeCell ref="C104:F104"/>
    <mergeCell ref="H104:I104"/>
    <mergeCell ref="L104:P104"/>
    <mergeCell ref="C105:F105"/>
    <mergeCell ref="H105:I105"/>
    <mergeCell ref="L105:P105"/>
    <mergeCell ref="C106:F106"/>
    <mergeCell ref="H106:I106"/>
    <mergeCell ref="L106:P106"/>
    <mergeCell ref="C107:F107"/>
    <mergeCell ref="H107:I107"/>
    <mergeCell ref="L107:P107"/>
    <mergeCell ref="C108:F108"/>
    <mergeCell ref="H108:I108"/>
    <mergeCell ref="L108:P108"/>
    <mergeCell ref="C109:F109"/>
    <mergeCell ref="H109:I109"/>
    <mergeCell ref="L109:P109"/>
    <mergeCell ref="C110:F110"/>
    <mergeCell ref="H110:I110"/>
    <mergeCell ref="L110:P110"/>
    <mergeCell ref="C111:F111"/>
    <mergeCell ref="H111:I111"/>
    <mergeCell ref="L111:P111"/>
    <mergeCell ref="A7:C8"/>
    <mergeCell ref="M7:O8"/>
    <mergeCell ref="E11:G12"/>
    <mergeCell ref="I7:K8"/>
    <mergeCell ref="A1:P2"/>
    <mergeCell ref="I11:K12"/>
    <mergeCell ref="A11:C12"/>
    <mergeCell ref="M11:O12"/>
    <mergeCell ref="E7:G8"/>
  </mergeCells>
  <conditionalFormatting sqref="J70:J97">
    <cfRule type="dataBar" priority="4">
      <dataBar>
        <cfvo type="min"/>
        <cfvo type="max"/>
        <color rgb="FFEE4D2D"/>
      </dataBar>
      <extLst>
        <ext xmlns:x14="http://schemas.microsoft.com/office/spreadsheetml/2009/9/main" uri="{B025F937-C7B1-47D3-B67F-A62EFF666E3E}">
          <x14:id>{a725a874-c5f7-416c-a6c9-d45a30d2011e}</x14:id>
        </ext>
      </extLst>
    </cfRule>
  </conditionalFormatting>
  <conditionalFormatting sqref="N70:N97">
    <cfRule type="cellIs" dxfId="3" priority="2" operator="lessThan">
      <formula>0</formula>
    </cfRule>
  </conditionalFormatting>
  <conditionalFormatting sqref="O70:O97">
    <cfRule type="cellIs" dxfId="3" priority="3" operator="lessThan">
      <formula>0</formula>
    </cfRule>
  </conditionalFormatting>
  <pageMargins left="0.7" right="0.7" top="0.75" bottom="0.75" header="0.511811023622047" footer="0.511811023622047"/>
  <pageSetup paperSize="9" orientation="portrait" horizontalDpi="300" verticalDpi="300"/>
  <headerFooter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725a874-c5f7-416c-a6c9-d45a30d2011e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J70:J97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39"/>
  <sheetViews>
    <sheetView showGridLines="0" topLeftCell="A105" workbookViewId="0">
      <selection activeCell="A120" sqref="$A120:$XFD120"/>
    </sheetView>
  </sheetViews>
  <sheetFormatPr defaultColWidth="8.67592592592593" defaultRowHeight="13.2"/>
  <cols>
    <col min="1" max="1" width="12" customWidth="1"/>
    <col min="2" max="4" width="14" customWidth="1"/>
    <col min="5" max="5" width="11" customWidth="1"/>
    <col min="6" max="10" width="14" customWidth="1"/>
    <col min="11" max="13" width="12" customWidth="1"/>
    <col min="14" max="16" width="14" customWidth="1"/>
    <col min="17" max="17" width="11" customWidth="1"/>
    <col min="18" max="19" width="2.5" customWidth="1"/>
  </cols>
  <sheetData>
    <row r="1" ht="30" customHeight="1" spans="1:20">
      <c r="A1" s="1" t="s">
        <v>244</v>
      </c>
      <c r="R1" s="2" t="s">
        <v>1</v>
      </c>
      <c r="S1" s="3">
        <v>128543610</v>
      </c>
      <c r="T1" t="s">
        <v>1</v>
      </c>
    </row>
    <row r="2" ht="30" customHeight="1" spans="1:20">
      <c r="R2" s="2" t="s">
        <v>2</v>
      </c>
      <c r="S2" s="3">
        <v>167121375</v>
      </c>
      <c r="T2" t="s">
        <v>2</v>
      </c>
    </row>
    <row r="3" ht="21.75" customHeight="1" spans="1:20">
      <c r="A3" s="4" t="s">
        <v>3</v>
      </c>
      <c r="D3" s="4" t="s">
        <v>4</v>
      </c>
      <c r="G3" s="4" t="s">
        <v>5</v>
      </c>
      <c r="J3" s="4" t="s">
        <v>6</v>
      </c>
      <c r="M3" s="4" t="s">
        <v>7</v>
      </c>
      <c r="O3" s="5" t="s">
        <v>8</v>
      </c>
      <c r="R3" s="2" t="s">
        <v>9</v>
      </c>
      <c r="S3" s="3">
        <v>3242174.03</v>
      </c>
      <c r="T3" t="s">
        <v>9</v>
      </c>
    </row>
    <row r="4" ht="19.5" customHeight="1" spans="1:20">
      <c r="A4" s="6" t="s">
        <v>245</v>
      </c>
      <c r="R4" s="2" t="s">
        <v>11</v>
      </c>
      <c r="S4" s="3">
        <v>-7970342.07</v>
      </c>
      <c r="T4" t="s">
        <v>11</v>
      </c>
    </row>
    <row r="5" ht="15" customHeight="1" spans="1:20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R5" s="2" t="s">
        <v>12</v>
      </c>
      <c r="S5" s="8">
        <v>0.025222366401566</v>
      </c>
      <c r="T5" t="s">
        <v>12</v>
      </c>
    </row>
    <row r="6" ht="19.5" customHeight="1" spans="1:20">
      <c r="A6" s="9" t="s">
        <v>13</v>
      </c>
      <c r="D6" s="7"/>
      <c r="E6" s="9" t="s">
        <v>14</v>
      </c>
      <c r="H6" s="7"/>
      <c r="I6" s="9" t="s">
        <v>15</v>
      </c>
      <c r="L6" s="7"/>
      <c r="M6" s="9" t="s">
        <v>16</v>
      </c>
      <c r="P6" s="7"/>
      <c r="R6" s="2" t="s">
        <v>17</v>
      </c>
      <c r="S6" s="8">
        <v>-0.0476919368931712</v>
      </c>
      <c r="T6" t="s">
        <v>17</v>
      </c>
    </row>
    <row r="7" ht="25.5" customHeight="1" spans="1:20">
      <c r="A7" s="10">
        <f>$S$1</f>
        <v>128543610</v>
      </c>
      <c r="D7" s="7"/>
      <c r="E7" s="10">
        <f>$S$3</f>
        <v>3242174.03</v>
      </c>
      <c r="H7" s="7"/>
      <c r="I7" s="11">
        <f>$S$5</f>
        <v>0.025222366401566</v>
      </c>
      <c r="L7" s="7"/>
      <c r="M7" s="12">
        <f>$S$7</f>
        <v>512</v>
      </c>
      <c r="P7" s="7"/>
      <c r="R7" s="2" t="s">
        <v>18</v>
      </c>
      <c r="S7" s="3">
        <v>512</v>
      </c>
      <c r="T7" t="s">
        <v>18</v>
      </c>
    </row>
    <row r="8" ht="25.5" customHeight="1" spans="1:20">
      <c r="D8" s="7"/>
      <c r="H8" s="7"/>
      <c r="L8" s="7"/>
      <c r="P8" s="7"/>
      <c r="R8" s="2" t="s">
        <v>19</v>
      </c>
      <c r="S8" s="3">
        <v>715</v>
      </c>
      <c r="T8" t="s">
        <v>19</v>
      </c>
    </row>
    <row r="9" ht="18.75" customHeight="1" spans="1:20">
      <c r="A9" s="13">
        <f>IFERROR($S$1/$S$2-1,0)</f>
        <v>-0.230836809474551</v>
      </c>
      <c r="D9" s="7"/>
      <c r="E9" s="14">
        <f>$S$3-$S$4</f>
        <v>11212516.1</v>
      </c>
      <c r="H9" s="7"/>
      <c r="I9" s="13">
        <f>$S$5-$S$6</f>
        <v>0.0729143032947372</v>
      </c>
      <c r="L9" s="7"/>
      <c r="M9" s="13">
        <f>IFERROR($S$7/$S$8-1,0)</f>
        <v>-0.283916083916084</v>
      </c>
      <c r="P9" s="7"/>
      <c r="R9" s="2" t="s">
        <v>20</v>
      </c>
      <c r="S9" s="8">
        <v>0.752159792540446</v>
      </c>
      <c r="T9" t="s">
        <v>20</v>
      </c>
    </row>
    <row r="10" ht="19.5" customHeight="1" spans="1:20">
      <c r="A10" s="9" t="s">
        <v>21</v>
      </c>
      <c r="D10" s="7"/>
      <c r="E10" s="9" t="s">
        <v>22</v>
      </c>
      <c r="H10" s="7"/>
      <c r="I10" s="9" t="s">
        <v>23</v>
      </c>
      <c r="L10" s="7"/>
      <c r="M10" s="9" t="s">
        <v>24</v>
      </c>
      <c r="P10" s="7"/>
      <c r="R10" s="2" t="s">
        <v>25</v>
      </c>
      <c r="S10" s="8">
        <v>0.756461732857332</v>
      </c>
      <c r="T10" t="s">
        <v>25</v>
      </c>
    </row>
    <row r="11" ht="25.5" customHeight="1" spans="1:20">
      <c r="A11" s="11">
        <f>$S$9</f>
        <v>0.752159792540446</v>
      </c>
      <c r="D11" s="7"/>
      <c r="E11" s="11">
        <f>$S$11</f>
        <v>0.255975337863936</v>
      </c>
      <c r="H11" s="7"/>
      <c r="I11" s="11">
        <f>$S$13</f>
        <v>0.1328125</v>
      </c>
      <c r="L11" s="7"/>
      <c r="M11" s="10">
        <f>$S$15</f>
        <v>332070992.5</v>
      </c>
      <c r="P11" s="7"/>
      <c r="R11" s="2" t="s">
        <v>26</v>
      </c>
      <c r="S11" s="8">
        <v>0.255975337863936</v>
      </c>
      <c r="T11" t="s">
        <v>26</v>
      </c>
    </row>
    <row r="12" ht="25.5" customHeight="1" spans="1:20">
      <c r="D12" s="7"/>
      <c r="H12" s="7"/>
      <c r="L12" s="7"/>
      <c r="P12" s="7"/>
      <c r="R12" s="2" t="s">
        <v>27</v>
      </c>
      <c r="S12" s="8">
        <v>0.332315109303044</v>
      </c>
      <c r="T12" t="s">
        <v>27</v>
      </c>
    </row>
    <row r="13" ht="18.75" customHeight="1" spans="1:20">
      <c r="A13" s="13">
        <f>$S$9-$S$10</f>
        <v>-0.00430194031688602</v>
      </c>
      <c r="D13" s="7"/>
      <c r="E13" s="13">
        <f>$S$11-$S$12</f>
        <v>-0.076339771439108</v>
      </c>
      <c r="H13" s="7"/>
      <c r="I13" s="13">
        <f>$S$13-$S$14</f>
        <v>-0.005649038461539</v>
      </c>
      <c r="L13" s="7"/>
      <c r="M13" s="13">
        <f>IFERROR($S$15/$S$1-1,0)</f>
        <v>1.58333333333333</v>
      </c>
      <c r="P13" s="7"/>
      <c r="R13" s="2" t="s">
        <v>28</v>
      </c>
      <c r="S13" s="8">
        <v>0.1328125</v>
      </c>
      <c r="T13" t="s">
        <v>28</v>
      </c>
    </row>
    <row r="14" ht="15" customHeight="1" spans="1:20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R14" s="2" t="s">
        <v>29</v>
      </c>
      <c r="S14" s="8">
        <v>0.138461538461539</v>
      </c>
      <c r="T14" t="s">
        <v>29</v>
      </c>
    </row>
    <row r="15" ht="21.75" customHeight="1" spans="1:20">
      <c r="A15" s="15" t="s">
        <v>116</v>
      </c>
      <c r="R15" s="2" t="s">
        <v>31</v>
      </c>
      <c r="S15" s="3">
        <v>332070992.5</v>
      </c>
      <c r="T15" t="s">
        <v>31</v>
      </c>
    </row>
    <row r="16" ht="15" customHeight="1" spans="1:20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R16" s="2" t="s">
        <v>32</v>
      </c>
      <c r="S16" s="3">
        <v>8375616.24416667</v>
      </c>
      <c r="T16" t="s">
        <v>32</v>
      </c>
    </row>
    <row r="17" ht="15" customHeight="1" spans="1:20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R17" s="2" t="s">
        <v>33</v>
      </c>
      <c r="S17" s="3">
        <v>173797000</v>
      </c>
      <c r="T17" t="s">
        <v>33</v>
      </c>
    </row>
    <row r="18" ht="15" customHeight="1" spans="1:20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R18" s="2" t="s">
        <v>34</v>
      </c>
      <c r="S18" s="3">
        <v>31858274.97</v>
      </c>
      <c r="T18" t="s">
        <v>34</v>
      </c>
    </row>
    <row r="19" ht="15" customHeight="1" spans="1:20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R19" s="2" t="s">
        <v>35</v>
      </c>
      <c r="S19" s="3">
        <v>84490610</v>
      </c>
      <c r="T19" t="s">
        <v>35</v>
      </c>
    </row>
    <row r="20" ht="15" customHeight="1" spans="1: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R20" s="2" t="s">
        <v>37</v>
      </c>
      <c r="S20" s="3">
        <v>61722000</v>
      </c>
      <c r="T20" t="s">
        <v>37</v>
      </c>
    </row>
    <row r="21" ht="15" customHeight="1" spans="1:20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R21" s="2" t="s">
        <v>36</v>
      </c>
      <c r="S21" s="3">
        <v>2702327.63</v>
      </c>
      <c r="T21" t="s">
        <v>36</v>
      </c>
    </row>
    <row r="22" ht="15" customHeight="1" spans="1:20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R22" s="2" t="s">
        <v>38</v>
      </c>
      <c r="S22" s="3">
        <v>649465.18</v>
      </c>
      <c r="T22" t="s">
        <v>38</v>
      </c>
    </row>
    <row r="23" ht="15" customHeight="1" spans="1:20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R23" s="2" t="s">
        <v>39</v>
      </c>
      <c r="S23" s="8">
        <v>0.031983762811039</v>
      </c>
      <c r="T23" t="s">
        <v>39</v>
      </c>
    </row>
    <row r="24" ht="15" customHeight="1" spans="1:20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R24" s="2" t="s">
        <v>40</v>
      </c>
      <c r="S24" s="8">
        <v>0.0105224260393377</v>
      </c>
      <c r="T24" t="s">
        <v>40</v>
      </c>
    </row>
    <row r="25" ht="15" customHeight="1" spans="1:20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</row>
    <row r="26" ht="15" customHeight="1" spans="1:20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</row>
    <row r="27" ht="15" customHeight="1" spans="1:20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</row>
    <row r="28" ht="15" customHeight="1" spans="1:20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</row>
    <row r="29" ht="15" customHeight="1" spans="1:20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</row>
    <row r="30" ht="15" customHeight="1" spans="1:2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R30" s="2" t="s">
        <v>117</v>
      </c>
      <c r="S30" s="2" t="s">
        <v>118</v>
      </c>
      <c r="T30" s="2" t="s">
        <v>119</v>
      </c>
    </row>
    <row r="31" ht="15" customHeight="1" spans="1:20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R31" s="2" t="s">
        <v>71</v>
      </c>
      <c r="S31" s="3">
        <v>41568592</v>
      </c>
      <c r="T31" s="3">
        <v>0.323381240032079</v>
      </c>
    </row>
    <row r="32" ht="15" customHeight="1" spans="1:20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R32" s="2" t="s">
        <v>73</v>
      </c>
      <c r="S32" s="3">
        <v>32903994</v>
      </c>
      <c r="T32" s="3">
        <v>0.255975337863936</v>
      </c>
    </row>
    <row r="33" ht="15" customHeight="1" spans="1:20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R33" s="2" t="s">
        <v>75</v>
      </c>
      <c r="S33" s="3">
        <v>13974187</v>
      </c>
      <c r="T33" s="3">
        <v>0.108711642686867</v>
      </c>
    </row>
    <row r="34" ht="15" customHeight="1" spans="1:20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R34" s="2" t="s">
        <v>81</v>
      </c>
      <c r="S34" s="3">
        <v>2722500</v>
      </c>
      <c r="T34" s="3">
        <v>0.021179582555679</v>
      </c>
    </row>
    <row r="35" ht="15" customHeight="1" spans="1:20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R35" s="2" t="s">
        <v>77</v>
      </c>
      <c r="S35" s="3">
        <v>1982000</v>
      </c>
      <c r="T35" s="3">
        <v>0.0154188916897542</v>
      </c>
    </row>
    <row r="36" ht="15" customHeight="1" spans="1:20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R36" s="2" t="s">
        <v>79</v>
      </c>
      <c r="S36" s="3">
        <v>180000</v>
      </c>
      <c r="T36" s="3">
        <v>0.00140030297888787</v>
      </c>
    </row>
    <row r="37" ht="15" customHeight="1" spans="1:20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R37" s="2" t="s">
        <v>83</v>
      </c>
      <c r="S37" s="3">
        <v>111888</v>
      </c>
      <c r="T37" s="3">
        <v>0.000870428331676697</v>
      </c>
    </row>
    <row r="38" ht="15" customHeight="1" spans="1:20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</row>
    <row r="39" ht="15" customHeight="1" spans="1:20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</row>
    <row r="40" ht="15" customHeight="1" spans="1:2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</row>
    <row r="41" ht="15" customHeight="1" spans="1:20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</row>
    <row r="42" ht="15" customHeight="1" spans="1:20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</row>
    <row r="43" ht="15" customHeight="1" spans="1:20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</row>
    <row r="44" ht="15" customHeight="1" spans="1:20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</row>
    <row r="45" ht="15" customHeight="1" spans="1:20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</row>
    <row r="46" ht="15" customHeight="1" spans="1:20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</row>
    <row r="47" ht="15" customHeight="1" spans="1:20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</row>
    <row r="48" ht="15" customHeight="1" spans="1:20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</row>
    <row r="49" ht="15" customHeight="1" spans="1:16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</row>
    <row r="50" ht="21.75" customHeight="1" spans="1:16">
      <c r="A50" s="15" t="s">
        <v>120</v>
      </c>
    </row>
    <row r="51" ht="24" customHeight="1" spans="1:16">
      <c r="A51" s="16" t="s">
        <v>121</v>
      </c>
      <c r="B51" s="16" t="s">
        <v>122</v>
      </c>
      <c r="C51" s="16" t="s">
        <v>69</v>
      </c>
      <c r="D51" s="16" t="s">
        <v>123</v>
      </c>
      <c r="E51" s="16" t="s">
        <v>69</v>
      </c>
      <c r="F51" s="16" t="s">
        <v>124</v>
      </c>
      <c r="G51" s="16" t="s">
        <v>125</v>
      </c>
      <c r="H51" s="7"/>
      <c r="I51" s="17" t="s">
        <v>126</v>
      </c>
    </row>
    <row r="52" ht="22.5" customHeight="1" spans="1:16">
      <c r="A52" s="18" t="s">
        <v>127</v>
      </c>
      <c r="B52" s="19">
        <v>173797000</v>
      </c>
      <c r="C52" s="20">
        <f t="shared" ref="C52:C62" si="0">IFERROR(B52/$B$53,0)</f>
        <v>1.35204698234319</v>
      </c>
      <c r="D52" s="19">
        <v>115901000</v>
      </c>
      <c r="E52" s="20">
        <f t="shared" ref="E52:E62" si="1">IFERROR(D52/$D$53,0)</f>
        <v>1.37176190348253</v>
      </c>
      <c r="F52" s="20">
        <v>-0.180635701893339</v>
      </c>
      <c r="G52" s="20">
        <v>0.431459730507491</v>
      </c>
      <c r="H52" s="7"/>
      <c r="I52" s="21" t="s">
        <v>246</v>
      </c>
    </row>
    <row r="53" ht="22.5" customHeight="1" spans="1:16">
      <c r="A53" s="18" t="s">
        <v>94</v>
      </c>
      <c r="B53" s="19">
        <v>128543610</v>
      </c>
      <c r="C53" s="20">
        <f t="shared" si="0"/>
        <v>1</v>
      </c>
      <c r="D53" s="19">
        <v>84490610</v>
      </c>
      <c r="E53" s="20">
        <f t="shared" si="1"/>
        <v>1</v>
      </c>
      <c r="F53" s="20">
        <v>-0.230836809474551</v>
      </c>
      <c r="G53" s="20">
        <v>0.368889698972814</v>
      </c>
      <c r="H53" s="7"/>
      <c r="I53" s="21" t="s">
        <v>247</v>
      </c>
    </row>
    <row r="54" ht="22.5" customHeight="1" spans="1:16">
      <c r="A54" s="18" t="s">
        <v>130</v>
      </c>
      <c r="B54" s="19">
        <v>-31858274.97</v>
      </c>
      <c r="C54" s="20">
        <f t="shared" si="0"/>
        <v>-0.247840207459554</v>
      </c>
      <c r="D54" s="19">
        <v>-21707727.37</v>
      </c>
      <c r="E54" s="20">
        <f t="shared" si="1"/>
        <v>-0.256924732464353</v>
      </c>
      <c r="F54" s="20">
        <v>0</v>
      </c>
      <c r="G54" s="20">
        <v>0</v>
      </c>
      <c r="H54" s="7"/>
      <c r="I54" s="21" t="s">
        <v>248</v>
      </c>
    </row>
    <row r="55" ht="22.5" customHeight="1" spans="1:16">
      <c r="A55" s="18" t="s">
        <v>132</v>
      </c>
      <c r="B55" s="19">
        <v>96685335.03</v>
      </c>
      <c r="C55" s="20">
        <f t="shared" si="0"/>
        <v>0.752159792540446</v>
      </c>
      <c r="D55" s="19">
        <v>62782882.63</v>
      </c>
      <c r="E55" s="20">
        <f t="shared" si="1"/>
        <v>0.743075267535647</v>
      </c>
      <c r="F55" s="20">
        <v>0</v>
      </c>
      <c r="G55" s="20">
        <v>0</v>
      </c>
      <c r="H55" s="7"/>
      <c r="I55" s="21" t="s">
        <v>249</v>
      </c>
    </row>
    <row r="56" ht="22.5" customHeight="1" spans="1:16">
      <c r="A56" s="18" t="s">
        <v>134</v>
      </c>
      <c r="B56" s="19">
        <v>-41568592</v>
      </c>
      <c r="C56" s="20">
        <f t="shared" si="0"/>
        <v>-0.323381240032079</v>
      </c>
      <c r="D56" s="19">
        <v>-26799232</v>
      </c>
      <c r="E56" s="20">
        <f t="shared" si="1"/>
        <v>-0.317185921607147</v>
      </c>
      <c r="F56" s="20">
        <v>0</v>
      </c>
      <c r="G56" s="20">
        <v>0</v>
      </c>
      <c r="H56" s="7"/>
      <c r="I56" s="21" t="s">
        <v>250</v>
      </c>
    </row>
    <row r="57" ht="21" customHeight="1" spans="1:16">
      <c r="A57" s="18" t="s">
        <v>136</v>
      </c>
      <c r="B57" s="19">
        <v>-180000</v>
      </c>
      <c r="C57" s="20">
        <f t="shared" si="0"/>
        <v>-0.00140030297888787</v>
      </c>
      <c r="D57" s="19">
        <v>-60000</v>
      </c>
      <c r="E57" s="20">
        <f t="shared" si="1"/>
        <v>-0.000710138085167097</v>
      </c>
      <c r="F57" s="20">
        <v>0</v>
      </c>
      <c r="G57" s="20">
        <v>0</v>
      </c>
      <c r="H57" s="7"/>
      <c r="I57" s="22" t="s">
        <v>137</v>
      </c>
      <c r="J57" s="23"/>
      <c r="K57" s="23"/>
      <c r="L57" s="23"/>
      <c r="M57" s="23"/>
      <c r="N57" s="23"/>
      <c r="O57" s="23"/>
      <c r="P57" s="24"/>
    </row>
    <row r="58" ht="18.75" customHeight="1" spans="1:16">
      <c r="A58" s="18" t="s">
        <v>138</v>
      </c>
      <c r="B58" s="19">
        <v>-13974187</v>
      </c>
      <c r="C58" s="20">
        <f t="shared" si="0"/>
        <v>-0.108711642686867</v>
      </c>
      <c r="D58" s="19">
        <v>-9238589</v>
      </c>
      <c r="E58" s="20">
        <f t="shared" si="1"/>
        <v>-0.109344565035097</v>
      </c>
      <c r="F58" s="20">
        <v>0</v>
      </c>
      <c r="G58" s="20">
        <v>0</v>
      </c>
      <c r="H58" s="7"/>
      <c r="I58" s="25" t="s">
        <v>67</v>
      </c>
      <c r="J58" s="24"/>
      <c r="K58" s="26" t="s">
        <v>68</v>
      </c>
      <c r="L58" s="24"/>
      <c r="M58" s="27" t="s">
        <v>139</v>
      </c>
      <c r="N58" s="24"/>
      <c r="O58" s="25" t="s">
        <v>140</v>
      </c>
      <c r="P58" s="24"/>
    </row>
    <row r="59" ht="18.75" customHeight="1" spans="1:16">
      <c r="A59" s="18" t="s">
        <v>141</v>
      </c>
      <c r="B59" s="19">
        <v>-32903994</v>
      </c>
      <c r="C59" s="20">
        <f t="shared" si="0"/>
        <v>-0.255975337863936</v>
      </c>
      <c r="D59" s="19">
        <v>-21415689</v>
      </c>
      <c r="E59" s="20">
        <f t="shared" si="1"/>
        <v>-0.253468272983234</v>
      </c>
      <c r="F59" s="20">
        <v>0</v>
      </c>
      <c r="G59" s="20">
        <v>0</v>
      </c>
      <c r="H59" s="7"/>
      <c r="I59" s="28" t="s">
        <v>134</v>
      </c>
      <c r="J59" s="24"/>
      <c r="K59" s="29">
        <v>41568592</v>
      </c>
      <c r="L59" s="24"/>
      <c r="M59" s="30">
        <v>0.323381240032079</v>
      </c>
      <c r="N59" s="24"/>
      <c r="O59" s="28" t="s">
        <v>225</v>
      </c>
      <c r="P59" s="24"/>
    </row>
    <row r="60" ht="18.75" customHeight="1" spans="1:16">
      <c r="A60" s="18" t="s">
        <v>143</v>
      </c>
      <c r="B60" s="19">
        <v>-2834388</v>
      </c>
      <c r="C60" s="20">
        <f t="shared" si="0"/>
        <v>-0.0220500108873557</v>
      </c>
      <c r="D60" s="19">
        <v>-1267045</v>
      </c>
      <c r="E60" s="20">
        <f t="shared" si="1"/>
        <v>-0.0149962818353424</v>
      </c>
      <c r="F60" s="20">
        <v>0</v>
      </c>
      <c r="G60" s="20">
        <v>0</v>
      </c>
      <c r="H60" s="7"/>
      <c r="I60" s="28" t="s">
        <v>141</v>
      </c>
      <c r="J60" s="24"/>
      <c r="K60" s="29">
        <v>32903994</v>
      </c>
      <c r="L60" s="24"/>
      <c r="M60" s="30">
        <v>0.255975337863936</v>
      </c>
      <c r="N60" s="24"/>
      <c r="O60" s="28" t="s">
        <v>225</v>
      </c>
      <c r="P60" s="24"/>
    </row>
    <row r="61" ht="18.75" customHeight="1" spans="1:16">
      <c r="A61" s="18" t="s">
        <v>145</v>
      </c>
      <c r="B61" s="19">
        <v>-1982000</v>
      </c>
      <c r="C61" s="20">
        <f t="shared" si="0"/>
        <v>-0.0154188916897542</v>
      </c>
      <c r="D61" s="19">
        <v>-1300000</v>
      </c>
      <c r="E61" s="20">
        <f t="shared" si="1"/>
        <v>-0.0153863251786204</v>
      </c>
      <c r="F61" s="20">
        <v>0</v>
      </c>
      <c r="G61" s="20">
        <v>0</v>
      </c>
      <c r="H61" s="7"/>
      <c r="I61" s="28" t="s">
        <v>138</v>
      </c>
      <c r="J61" s="24"/>
      <c r="K61" s="29">
        <v>13974187</v>
      </c>
      <c r="L61" s="24"/>
      <c r="M61" s="30">
        <v>0.108711642686867</v>
      </c>
      <c r="N61" s="24"/>
      <c r="O61" s="28" t="s">
        <v>142</v>
      </c>
      <c r="P61" s="24"/>
    </row>
    <row r="62" ht="18.75" customHeight="1" spans="1:16">
      <c r="A62" s="31" t="s">
        <v>45</v>
      </c>
      <c r="B62" s="32">
        <v>3242174.03</v>
      </c>
      <c r="C62" s="33">
        <f t="shared" si="0"/>
        <v>0.025222366401566</v>
      </c>
      <c r="D62" s="32">
        <v>2702327.63</v>
      </c>
      <c r="E62" s="33">
        <f t="shared" si="1"/>
        <v>0.031983762811039</v>
      </c>
      <c r="F62" s="33">
        <v>-1.40677978454694</v>
      </c>
      <c r="G62" s="33">
        <v>3.16085067100903</v>
      </c>
      <c r="H62" s="7"/>
      <c r="I62" s="28" t="s">
        <v>147</v>
      </c>
      <c r="J62" s="24"/>
      <c r="K62" s="29">
        <v>2722500</v>
      </c>
      <c r="L62" s="24"/>
      <c r="M62" s="30">
        <v>0.021179582555679</v>
      </c>
      <c r="N62" s="24"/>
      <c r="O62" s="28" t="s">
        <v>144</v>
      </c>
      <c r="P62" s="24"/>
    </row>
    <row r="63" ht="19.5" customHeight="1" spans="1:16">
      <c r="A63" s="22" t="s">
        <v>146</v>
      </c>
      <c r="B63" s="23"/>
      <c r="C63" s="23"/>
      <c r="D63" s="23"/>
      <c r="E63" s="23"/>
      <c r="F63" s="23"/>
      <c r="G63" s="24"/>
      <c r="H63" s="7"/>
      <c r="I63" s="28" t="s">
        <v>145</v>
      </c>
      <c r="J63" s="24"/>
      <c r="K63" s="29">
        <v>1982000</v>
      </c>
      <c r="L63" s="24"/>
      <c r="M63" s="30">
        <v>0.0154188916897542</v>
      </c>
      <c r="N63" s="24"/>
      <c r="O63" s="28" t="s">
        <v>144</v>
      </c>
      <c r="P63" s="24"/>
    </row>
    <row r="64" ht="19.5" customHeight="1" spans="1:16">
      <c r="A64" s="25" t="s">
        <v>67</v>
      </c>
      <c r="B64" s="24"/>
      <c r="C64" s="25" t="s">
        <v>122</v>
      </c>
      <c r="D64" s="24"/>
      <c r="E64" s="27" t="s">
        <v>139</v>
      </c>
      <c r="F64" s="25" t="s">
        <v>123</v>
      </c>
      <c r="G64" s="25" t="s">
        <v>140</v>
      </c>
      <c r="H64" s="7"/>
      <c r="I64" s="34" t="s">
        <v>148</v>
      </c>
      <c r="J64" s="24"/>
      <c r="K64" s="35">
        <v>93443161</v>
      </c>
      <c r="L64" s="24"/>
      <c r="M64" s="36">
        <f>IFERROR(K64/$B$53,0)</f>
        <v>0.72693742613888</v>
      </c>
      <c r="N64" s="24"/>
      <c r="O64" s="34" t="s">
        <v>149</v>
      </c>
      <c r="P64" s="24"/>
    </row>
    <row r="65" ht="19.5" customHeight="1" spans="1:17">
      <c r="A65" s="28" t="s">
        <v>134</v>
      </c>
      <c r="B65" s="24"/>
      <c r="C65" s="29">
        <v>41568592</v>
      </c>
      <c r="D65" s="24"/>
      <c r="E65" s="30">
        <v>0.323381240032079</v>
      </c>
      <c r="F65" s="37">
        <v>26799232</v>
      </c>
      <c r="G65" s="28" t="s">
        <v>225</v>
      </c>
      <c r="H65" s="7"/>
      <c r="I65" s="7"/>
      <c r="J65" s="7"/>
      <c r="K65" s="7"/>
      <c r="L65" s="7"/>
      <c r="M65" s="7"/>
      <c r="N65" s="7"/>
      <c r="O65" s="7"/>
      <c r="P65" s="7"/>
    </row>
    <row r="66" ht="19.5" customHeight="1" spans="1:17">
      <c r="A66" s="28" t="s">
        <v>141</v>
      </c>
      <c r="B66" s="24"/>
      <c r="C66" s="29">
        <v>32903994</v>
      </c>
      <c r="D66" s="24"/>
      <c r="E66" s="30">
        <v>0.255975337863936</v>
      </c>
      <c r="F66" s="37">
        <v>21415689</v>
      </c>
      <c r="G66" s="28" t="s">
        <v>225</v>
      </c>
      <c r="H66" s="7"/>
      <c r="I66" s="7"/>
      <c r="J66" s="7"/>
      <c r="K66" s="7"/>
      <c r="L66" s="7"/>
      <c r="M66" s="7"/>
      <c r="N66" s="7"/>
      <c r="O66" s="7"/>
      <c r="P66" s="7"/>
    </row>
    <row r="67" ht="19.5" customHeight="1" spans="1:17">
      <c r="A67" s="28" t="s">
        <v>240</v>
      </c>
      <c r="B67" s="24"/>
      <c r="C67" s="29">
        <v>3850463</v>
      </c>
      <c r="D67" s="24"/>
      <c r="E67" s="30">
        <v>0.0299545267166528</v>
      </c>
      <c r="F67" s="37">
        <v>2118959</v>
      </c>
      <c r="G67" s="28" t="s">
        <v>251</v>
      </c>
      <c r="H67" s="7"/>
      <c r="I67" s="7"/>
      <c r="J67" s="7"/>
      <c r="K67" s="7"/>
      <c r="L67" s="7"/>
      <c r="M67" s="7"/>
      <c r="N67" s="7"/>
      <c r="O67" s="7"/>
      <c r="P67" s="7"/>
    </row>
    <row r="68" ht="21.75" customHeight="1" spans="1:17">
      <c r="A68" s="15" t="s">
        <v>150</v>
      </c>
    </row>
    <row r="69" ht="30" customHeight="1" spans="1:17">
      <c r="A69" s="16" t="s">
        <v>62</v>
      </c>
      <c r="B69" s="38" t="s">
        <v>151</v>
      </c>
      <c r="C69" s="38" t="s">
        <v>152</v>
      </c>
      <c r="D69" s="38" t="s">
        <v>153</v>
      </c>
      <c r="E69" s="38" t="s">
        <v>154</v>
      </c>
      <c r="F69" s="39" t="s">
        <v>155</v>
      </c>
      <c r="G69" s="38" t="s">
        <v>130</v>
      </c>
      <c r="H69" s="38" t="s">
        <v>134</v>
      </c>
      <c r="I69" s="38" t="s">
        <v>156</v>
      </c>
      <c r="J69" s="38" t="s">
        <v>138</v>
      </c>
      <c r="K69" s="38" t="s">
        <v>157</v>
      </c>
      <c r="L69" s="38" t="s">
        <v>147</v>
      </c>
      <c r="M69" s="38" t="s">
        <v>158</v>
      </c>
      <c r="N69" s="38" t="s">
        <v>145</v>
      </c>
      <c r="O69" s="38" t="s">
        <v>159</v>
      </c>
      <c r="P69" s="38" t="s">
        <v>45</v>
      </c>
      <c r="Q69" s="39" t="s">
        <v>46</v>
      </c>
    </row>
    <row r="70" ht="18.75" customHeight="1" spans="1:17">
      <c r="A70" s="40" t="s">
        <v>70</v>
      </c>
      <c r="B70" s="19">
        <v>7349000</v>
      </c>
      <c r="C70" s="19">
        <v>5742000</v>
      </c>
      <c r="D70" s="19">
        <v>9915000</v>
      </c>
      <c r="E70" s="19">
        <v>28</v>
      </c>
      <c r="F70" s="20">
        <v>0.214285714285714</v>
      </c>
      <c r="G70" s="19">
        <v>1295743.98</v>
      </c>
      <c r="H70" s="19">
        <v>1885004</v>
      </c>
      <c r="I70" s="19">
        <v>30000</v>
      </c>
      <c r="J70" s="19">
        <v>632435</v>
      </c>
      <c r="K70" s="19">
        <v>1717234</v>
      </c>
      <c r="L70" s="19">
        <v>300000</v>
      </c>
      <c r="M70" s="19">
        <v>64260</v>
      </c>
      <c r="N70" s="19">
        <v>100000</v>
      </c>
      <c r="O70" s="19">
        <f t="shared" ref="O70:O81" si="2">SUM(G70:N70)</f>
        <v>6024676.98</v>
      </c>
      <c r="P70" s="19">
        <v>-282676.98</v>
      </c>
      <c r="Q70" s="41">
        <f t="shared" ref="Q70:Q81" si="3">IFERROR(P70/C70,0)</f>
        <v>-0.0492297074190178</v>
      </c>
    </row>
    <row r="71" ht="18.75" customHeight="1" spans="1:17">
      <c r="A71" s="40" t="s">
        <v>72</v>
      </c>
      <c r="B71" s="19">
        <v>14161000</v>
      </c>
      <c r="C71" s="19">
        <v>10551000</v>
      </c>
      <c r="D71" s="19">
        <v>14906000</v>
      </c>
      <c r="E71" s="19">
        <v>43</v>
      </c>
      <c r="F71" s="20">
        <v>0.162790697674419</v>
      </c>
      <c r="G71" s="19">
        <v>2520135.4</v>
      </c>
      <c r="H71" s="19">
        <v>3819071</v>
      </c>
      <c r="I71" s="19">
        <v>30000</v>
      </c>
      <c r="J71" s="19">
        <v>1067508</v>
      </c>
      <c r="K71" s="19">
        <v>2668273</v>
      </c>
      <c r="L71" s="19">
        <v>300000</v>
      </c>
      <c r="M71" s="19">
        <v>0</v>
      </c>
      <c r="N71" s="19">
        <v>168000</v>
      </c>
      <c r="O71" s="19">
        <f t="shared" si="2"/>
        <v>10572987.4</v>
      </c>
      <c r="P71" s="19">
        <v>-21987.4</v>
      </c>
      <c r="Q71" s="41">
        <f t="shared" si="3"/>
        <v>-0.00208391621647237</v>
      </c>
    </row>
    <row r="72" ht="18.75" customHeight="1" spans="1:17">
      <c r="A72" s="40" t="s">
        <v>74</v>
      </c>
      <c r="B72" s="19">
        <v>10636000</v>
      </c>
      <c r="C72" s="19">
        <v>8121000</v>
      </c>
      <c r="D72" s="19">
        <v>21399375</v>
      </c>
      <c r="E72" s="19">
        <v>34</v>
      </c>
      <c r="F72" s="20">
        <v>0.117647058823529</v>
      </c>
      <c r="G72" s="19">
        <v>1841423.85</v>
      </c>
      <c r="H72" s="19">
        <v>2567980</v>
      </c>
      <c r="I72" s="19">
        <v>0</v>
      </c>
      <c r="J72" s="19">
        <v>896604</v>
      </c>
      <c r="K72" s="19">
        <v>1526077</v>
      </c>
      <c r="L72" s="19">
        <v>300000</v>
      </c>
      <c r="M72" s="19">
        <v>0</v>
      </c>
      <c r="N72" s="19">
        <v>136000</v>
      </c>
      <c r="O72" s="19">
        <f t="shared" si="2"/>
        <v>7268084.85</v>
      </c>
      <c r="P72" s="19">
        <v>852915.15</v>
      </c>
      <c r="Q72" s="41">
        <f t="shared" si="3"/>
        <v>0.105025877355006</v>
      </c>
    </row>
    <row r="73" ht="18.75" customHeight="1" spans="1:17">
      <c r="A73" s="40" t="s">
        <v>76</v>
      </c>
      <c r="B73" s="19">
        <v>13765000</v>
      </c>
      <c r="C73" s="19">
        <v>10670000</v>
      </c>
      <c r="D73" s="19">
        <v>11090000</v>
      </c>
      <c r="E73" s="19">
        <v>40</v>
      </c>
      <c r="F73" s="20">
        <v>0.1</v>
      </c>
      <c r="G73" s="19">
        <v>2488996</v>
      </c>
      <c r="H73" s="19">
        <v>3541965</v>
      </c>
      <c r="I73" s="19">
        <v>60000</v>
      </c>
      <c r="J73" s="19">
        <v>1165548</v>
      </c>
      <c r="K73" s="19">
        <v>3249406</v>
      </c>
      <c r="L73" s="19">
        <v>302042</v>
      </c>
      <c r="M73" s="19">
        <v>0</v>
      </c>
      <c r="N73" s="19">
        <v>166000</v>
      </c>
      <c r="O73" s="19">
        <f t="shared" si="2"/>
        <v>10973957</v>
      </c>
      <c r="P73" s="19">
        <v>-303957</v>
      </c>
      <c r="Q73" s="41">
        <f t="shared" si="3"/>
        <v>-0.0284870665417057</v>
      </c>
    </row>
    <row r="74" ht="18.75" customHeight="1" spans="1:17">
      <c r="A74" s="40" t="s">
        <v>78</v>
      </c>
      <c r="B74" s="19">
        <v>11985000</v>
      </c>
      <c r="C74" s="19">
        <v>8969000</v>
      </c>
      <c r="D74" s="19">
        <v>17275000</v>
      </c>
      <c r="E74" s="19">
        <v>33</v>
      </c>
      <c r="F74" s="20">
        <v>0.151515151515152</v>
      </c>
      <c r="G74" s="19">
        <v>2004248.37</v>
      </c>
      <c r="H74" s="19">
        <v>2955340</v>
      </c>
      <c r="I74" s="19">
        <v>0</v>
      </c>
      <c r="J74" s="19">
        <v>973503</v>
      </c>
      <c r="K74" s="19">
        <v>2327315</v>
      </c>
      <c r="L74" s="19">
        <v>301041</v>
      </c>
      <c r="M74" s="19">
        <v>0</v>
      </c>
      <c r="N74" s="19">
        <v>112000</v>
      </c>
      <c r="O74" s="19">
        <f t="shared" si="2"/>
        <v>8673447.37</v>
      </c>
      <c r="P74" s="19">
        <v>295552.63</v>
      </c>
      <c r="Q74" s="41">
        <f t="shared" si="3"/>
        <v>0.0329526848032111</v>
      </c>
    </row>
    <row r="75" ht="18.75" customHeight="1" spans="1:17">
      <c r="A75" s="40" t="s">
        <v>80</v>
      </c>
      <c r="B75" s="19">
        <v>10279000</v>
      </c>
      <c r="C75" s="19">
        <v>7580000</v>
      </c>
      <c r="D75" s="19">
        <v>24947000</v>
      </c>
      <c r="E75" s="19">
        <v>32</v>
      </c>
      <c r="F75" s="20">
        <v>0.03125</v>
      </c>
      <c r="G75" s="19">
        <v>1900940.13</v>
      </c>
      <c r="H75" s="19">
        <v>2394909</v>
      </c>
      <c r="I75" s="19">
        <v>0</v>
      </c>
      <c r="J75" s="19">
        <v>834756</v>
      </c>
      <c r="K75" s="19">
        <v>1267546</v>
      </c>
      <c r="L75" s="19">
        <v>314042</v>
      </c>
      <c r="M75" s="19">
        <v>47628</v>
      </c>
      <c r="N75" s="19">
        <v>114000</v>
      </c>
      <c r="O75" s="19">
        <f t="shared" si="2"/>
        <v>6873821.13</v>
      </c>
      <c r="P75" s="19">
        <v>706178.87</v>
      </c>
      <c r="Q75" s="41">
        <f t="shared" si="3"/>
        <v>0.0931634393139842</v>
      </c>
    </row>
    <row r="76" ht="18.75" customHeight="1" spans="1:17">
      <c r="A76" s="40" t="s">
        <v>82</v>
      </c>
      <c r="B76" s="19">
        <v>31874000</v>
      </c>
      <c r="C76" s="19">
        <v>22746610</v>
      </c>
      <c r="D76" s="19">
        <v>12200000</v>
      </c>
      <c r="E76" s="19">
        <v>82</v>
      </c>
      <c r="F76" s="20">
        <v>0.134146341463415</v>
      </c>
      <c r="G76" s="19">
        <v>6536957.59</v>
      </c>
      <c r="H76" s="19">
        <v>7191516</v>
      </c>
      <c r="I76" s="19">
        <v>60000</v>
      </c>
      <c r="J76" s="19">
        <v>2501208</v>
      </c>
      <c r="K76" s="19">
        <v>6709990</v>
      </c>
      <c r="L76" s="19">
        <v>0</v>
      </c>
      <c r="M76" s="19">
        <v>0</v>
      </c>
      <c r="N76" s="19">
        <v>296000</v>
      </c>
      <c r="O76" s="19">
        <f t="shared" si="2"/>
        <v>23295671.59</v>
      </c>
      <c r="P76" s="19">
        <v>-549061.59</v>
      </c>
      <c r="Q76" s="41">
        <f t="shared" si="3"/>
        <v>-0.0241381722375334</v>
      </c>
    </row>
    <row r="77" ht="18.75" customHeight="1" spans="1:17">
      <c r="A77" s="40" t="s">
        <v>84</v>
      </c>
      <c r="B77" s="19">
        <v>16387000</v>
      </c>
      <c r="C77" s="19">
        <v>11900000</v>
      </c>
      <c r="D77" s="19">
        <v>8084000</v>
      </c>
      <c r="E77" s="19">
        <v>48</v>
      </c>
      <c r="F77" s="20">
        <v>0.104166666666667</v>
      </c>
      <c r="G77" s="19">
        <v>3175470.93</v>
      </c>
      <c r="H77" s="19">
        <v>3687081</v>
      </c>
      <c r="I77" s="19">
        <v>0</v>
      </c>
      <c r="J77" s="19">
        <v>1309825</v>
      </c>
      <c r="K77" s="19">
        <v>3123976</v>
      </c>
      <c r="L77" s="19">
        <v>0</v>
      </c>
      <c r="M77" s="19">
        <v>0</v>
      </c>
      <c r="N77" s="19">
        <v>184000</v>
      </c>
      <c r="O77" s="19">
        <f t="shared" si="2"/>
        <v>11480352.93</v>
      </c>
      <c r="P77" s="19">
        <v>419647.07</v>
      </c>
      <c r="Q77" s="41">
        <f t="shared" si="3"/>
        <v>0.0352644596638655</v>
      </c>
    </row>
    <row r="78" ht="18.75" customHeight="1" spans="1:17">
      <c r="A78" s="40" t="s">
        <v>85</v>
      </c>
      <c r="B78" s="19">
        <v>11587000</v>
      </c>
      <c r="C78" s="19">
        <v>8897000</v>
      </c>
      <c r="D78" s="19">
        <v>12454000</v>
      </c>
      <c r="E78" s="19">
        <v>33</v>
      </c>
      <c r="F78" s="20">
        <v>0.181818181818182</v>
      </c>
      <c r="G78" s="19">
        <v>2053825.71</v>
      </c>
      <c r="H78" s="19">
        <v>2736779</v>
      </c>
      <c r="I78" s="19">
        <v>0</v>
      </c>
      <c r="J78" s="19">
        <v>982138</v>
      </c>
      <c r="K78" s="19">
        <v>2855495</v>
      </c>
      <c r="L78" s="19">
        <v>302833</v>
      </c>
      <c r="M78" s="19">
        <v>0</v>
      </c>
      <c r="N78" s="19">
        <v>132000</v>
      </c>
      <c r="O78" s="19">
        <f t="shared" si="2"/>
        <v>9063070.71</v>
      </c>
      <c r="P78" s="19">
        <v>-166070.71</v>
      </c>
      <c r="Q78" s="41">
        <f t="shared" si="3"/>
        <v>-0.0186659222209734</v>
      </c>
    </row>
    <row r="79" ht="18.75" customHeight="1" spans="1:17">
      <c r="A79" s="40" t="s">
        <v>86</v>
      </c>
      <c r="B79" s="19">
        <v>17215000</v>
      </c>
      <c r="C79" s="19">
        <v>12608000</v>
      </c>
      <c r="D79" s="19">
        <v>11710000</v>
      </c>
      <c r="E79" s="19">
        <v>52</v>
      </c>
      <c r="F79" s="20">
        <v>0.115384615384615</v>
      </c>
      <c r="G79" s="19">
        <v>3120468.52</v>
      </c>
      <c r="H79" s="19">
        <v>4027854</v>
      </c>
      <c r="I79" s="19">
        <v>0</v>
      </c>
      <c r="J79" s="19">
        <v>1370866</v>
      </c>
      <c r="K79" s="19">
        <v>2248743</v>
      </c>
      <c r="L79" s="19">
        <v>301250</v>
      </c>
      <c r="M79" s="19">
        <v>0</v>
      </c>
      <c r="N79" s="19">
        <v>208000</v>
      </c>
      <c r="O79" s="19">
        <f t="shared" si="2"/>
        <v>11277181.52</v>
      </c>
      <c r="P79" s="19">
        <v>1330818.48</v>
      </c>
      <c r="Q79" s="41">
        <f t="shared" si="3"/>
        <v>0.105553496192893</v>
      </c>
    </row>
    <row r="80" ht="18.75" customHeight="1" spans="1:17">
      <c r="A80" s="40" t="s">
        <v>87</v>
      </c>
      <c r="B80" s="19">
        <v>15766000</v>
      </c>
      <c r="C80" s="19">
        <v>11343000</v>
      </c>
      <c r="D80" s="19">
        <v>11613000</v>
      </c>
      <c r="E80" s="19">
        <v>46</v>
      </c>
      <c r="F80" s="20">
        <v>0.108695652173913</v>
      </c>
      <c r="G80" s="19">
        <v>2718856.83</v>
      </c>
      <c r="H80" s="19">
        <v>3550600</v>
      </c>
      <c r="I80" s="19">
        <v>0</v>
      </c>
      <c r="J80" s="19">
        <v>1241570</v>
      </c>
      <c r="K80" s="19">
        <v>3389549</v>
      </c>
      <c r="L80" s="19">
        <v>301292</v>
      </c>
      <c r="M80" s="19">
        <v>0</v>
      </c>
      <c r="N80" s="19">
        <v>192000</v>
      </c>
      <c r="O80" s="19">
        <f t="shared" si="2"/>
        <v>11393867.83</v>
      </c>
      <c r="P80" s="19">
        <v>-50867.83</v>
      </c>
      <c r="Q80" s="41">
        <f t="shared" si="3"/>
        <v>-0.00448451291545447</v>
      </c>
    </row>
    <row r="81" ht="18.75" customHeight="1" spans="1:17">
      <c r="A81" s="40" t="s">
        <v>88</v>
      </c>
      <c r="B81" s="19">
        <v>12793000</v>
      </c>
      <c r="C81" s="19">
        <v>9416000</v>
      </c>
      <c r="D81" s="19">
        <v>11528000</v>
      </c>
      <c r="E81" s="19">
        <v>41</v>
      </c>
      <c r="F81" s="20">
        <v>0.195121951219512</v>
      </c>
      <c r="G81" s="19">
        <v>2201207.66</v>
      </c>
      <c r="H81" s="19">
        <v>3210493</v>
      </c>
      <c r="I81" s="19">
        <v>0</v>
      </c>
      <c r="J81" s="19">
        <v>998226</v>
      </c>
      <c r="K81" s="19">
        <v>1820390</v>
      </c>
      <c r="L81" s="19">
        <v>0</v>
      </c>
      <c r="M81" s="19">
        <v>0</v>
      </c>
      <c r="N81" s="19">
        <v>174000</v>
      </c>
      <c r="O81" s="19">
        <f t="shared" si="2"/>
        <v>8404316.66</v>
      </c>
      <c r="P81" s="19">
        <v>1011683.34</v>
      </c>
      <c r="Q81" s="41">
        <f t="shared" si="3"/>
        <v>0.107443005522515</v>
      </c>
    </row>
    <row r="82" ht="18.75" hidden="1" customHeight="1" spans="1:17">
      <c r="A82" s="40"/>
      <c r="B82" s="42"/>
      <c r="C82" s="42"/>
      <c r="D82" s="42"/>
      <c r="E82" s="43"/>
      <c r="F82" s="42"/>
      <c r="G82" s="42"/>
      <c r="H82" s="42"/>
      <c r="I82" s="42"/>
      <c r="J82" s="42"/>
      <c r="K82" s="42"/>
      <c r="L82" s="42"/>
      <c r="M82" s="42"/>
      <c r="N82" s="42"/>
      <c r="O82" s="43"/>
      <c r="P82" s="42"/>
    </row>
    <row r="83" ht="18.75" hidden="1" customHeight="1" spans="1:17">
      <c r="A83" s="40"/>
      <c r="B83" s="42"/>
      <c r="C83" s="42"/>
      <c r="D83" s="42"/>
      <c r="E83" s="43"/>
      <c r="F83" s="42"/>
      <c r="G83" s="42"/>
      <c r="H83" s="42"/>
      <c r="I83" s="42"/>
      <c r="J83" s="42"/>
      <c r="K83" s="42"/>
      <c r="L83" s="42"/>
      <c r="M83" s="42"/>
      <c r="N83" s="42"/>
      <c r="O83" s="43"/>
      <c r="P83" s="42"/>
    </row>
    <row r="84" ht="18.75" hidden="1" customHeight="1" spans="1:17">
      <c r="A84" s="40"/>
      <c r="B84" s="42"/>
      <c r="C84" s="42"/>
      <c r="D84" s="42"/>
      <c r="E84" s="43"/>
      <c r="F84" s="42"/>
      <c r="G84" s="42"/>
      <c r="H84" s="42"/>
      <c r="I84" s="42"/>
      <c r="J84" s="42"/>
      <c r="K84" s="42"/>
      <c r="L84" s="42"/>
      <c r="M84" s="42"/>
      <c r="N84" s="42"/>
      <c r="O84" s="43"/>
      <c r="P84" s="42"/>
    </row>
    <row r="85" ht="18.75" hidden="1" customHeight="1" spans="1:17">
      <c r="A85" s="40"/>
      <c r="B85" s="42"/>
      <c r="C85" s="42"/>
      <c r="D85" s="42"/>
      <c r="E85" s="43"/>
      <c r="F85" s="42"/>
      <c r="G85" s="42"/>
      <c r="H85" s="42"/>
      <c r="I85" s="42"/>
      <c r="J85" s="42"/>
      <c r="K85" s="42"/>
      <c r="L85" s="42"/>
      <c r="M85" s="42"/>
      <c r="N85" s="42"/>
      <c r="O85" s="43"/>
      <c r="P85" s="42"/>
    </row>
    <row r="86" ht="18.75" hidden="1" customHeight="1" spans="1:17">
      <c r="A86" s="40"/>
      <c r="B86" s="42"/>
      <c r="C86" s="42"/>
      <c r="D86" s="42"/>
      <c r="E86" s="43"/>
      <c r="F86" s="42"/>
      <c r="G86" s="42"/>
      <c r="H86" s="42"/>
      <c r="I86" s="42"/>
      <c r="J86" s="42"/>
      <c r="K86" s="42"/>
      <c r="L86" s="42"/>
      <c r="M86" s="42"/>
      <c r="N86" s="42"/>
      <c r="O86" s="43"/>
      <c r="P86" s="42"/>
    </row>
    <row r="87" ht="18.75" hidden="1" customHeight="1" spans="1:17">
      <c r="A87" s="40"/>
      <c r="B87" s="42"/>
      <c r="C87" s="42"/>
      <c r="D87" s="42"/>
      <c r="E87" s="43"/>
      <c r="F87" s="42"/>
      <c r="G87" s="42"/>
      <c r="H87" s="42"/>
      <c r="I87" s="42"/>
      <c r="J87" s="42"/>
      <c r="K87" s="42"/>
      <c r="L87" s="42"/>
      <c r="M87" s="42"/>
      <c r="N87" s="42"/>
      <c r="O87" s="43"/>
      <c r="P87" s="42"/>
    </row>
    <row r="88" ht="18.75" hidden="1" customHeight="1" spans="1:17">
      <c r="A88" s="40"/>
      <c r="B88" s="42"/>
      <c r="C88" s="42"/>
      <c r="D88" s="42"/>
      <c r="E88" s="43"/>
      <c r="F88" s="42"/>
      <c r="G88" s="42"/>
      <c r="H88" s="42"/>
      <c r="I88" s="42"/>
      <c r="J88" s="42"/>
      <c r="K88" s="42"/>
      <c r="L88" s="42"/>
      <c r="M88" s="42"/>
      <c r="N88" s="42"/>
      <c r="O88" s="43"/>
      <c r="P88" s="42"/>
    </row>
    <row r="89" ht="18.75" hidden="1" customHeight="1" spans="1:17">
      <c r="A89" s="40"/>
      <c r="B89" s="42"/>
      <c r="C89" s="42"/>
      <c r="D89" s="42"/>
      <c r="E89" s="43"/>
      <c r="F89" s="42"/>
      <c r="G89" s="42"/>
      <c r="H89" s="42"/>
      <c r="I89" s="42"/>
      <c r="J89" s="42"/>
      <c r="K89" s="42"/>
      <c r="L89" s="42"/>
      <c r="M89" s="42"/>
      <c r="N89" s="42"/>
      <c r="O89" s="43"/>
      <c r="P89" s="42"/>
    </row>
    <row r="90" ht="18.75" hidden="1" customHeight="1" spans="1:17">
      <c r="A90" s="40"/>
      <c r="B90" s="42"/>
      <c r="C90" s="42"/>
      <c r="D90" s="42"/>
      <c r="E90" s="43"/>
      <c r="F90" s="42"/>
      <c r="G90" s="42"/>
      <c r="H90" s="42"/>
      <c r="I90" s="42"/>
      <c r="J90" s="42"/>
      <c r="K90" s="42"/>
      <c r="L90" s="42"/>
      <c r="M90" s="42"/>
      <c r="N90" s="42"/>
      <c r="O90" s="43"/>
      <c r="P90" s="42"/>
    </row>
    <row r="91" ht="18.75" hidden="1" customHeight="1" spans="1:17">
      <c r="A91" s="40"/>
      <c r="B91" s="42"/>
      <c r="C91" s="42"/>
      <c r="D91" s="42"/>
      <c r="E91" s="43"/>
      <c r="F91" s="42"/>
      <c r="G91" s="42"/>
      <c r="H91" s="42"/>
      <c r="I91" s="42"/>
      <c r="J91" s="42"/>
      <c r="K91" s="42"/>
      <c r="L91" s="42"/>
      <c r="M91" s="42"/>
      <c r="N91" s="42"/>
      <c r="O91" s="43"/>
      <c r="P91" s="42"/>
    </row>
    <row r="92" ht="18.75" hidden="1" customHeight="1" spans="1:17">
      <c r="A92" s="40"/>
      <c r="B92" s="42"/>
      <c r="C92" s="42"/>
      <c r="D92" s="42"/>
      <c r="E92" s="43"/>
      <c r="F92" s="42"/>
      <c r="G92" s="42"/>
      <c r="H92" s="42"/>
      <c r="I92" s="42"/>
      <c r="J92" s="42"/>
      <c r="K92" s="42"/>
      <c r="L92" s="42"/>
      <c r="M92" s="42"/>
      <c r="N92" s="42"/>
      <c r="O92" s="43"/>
      <c r="P92" s="42"/>
    </row>
    <row r="93" ht="18.75" hidden="1" customHeight="1" spans="1:17">
      <c r="A93" s="40"/>
      <c r="B93" s="42"/>
      <c r="C93" s="42"/>
      <c r="D93" s="42"/>
      <c r="E93" s="43"/>
      <c r="F93" s="42"/>
      <c r="G93" s="42"/>
      <c r="H93" s="42"/>
      <c r="I93" s="42"/>
      <c r="J93" s="42"/>
      <c r="K93" s="42"/>
      <c r="L93" s="42"/>
      <c r="M93" s="42"/>
      <c r="N93" s="42"/>
      <c r="O93" s="43"/>
      <c r="P93" s="42"/>
    </row>
    <row r="94" ht="18.75" hidden="1" customHeight="1" spans="1:17">
      <c r="A94" s="40"/>
      <c r="B94" s="42"/>
      <c r="C94" s="42"/>
      <c r="D94" s="42"/>
      <c r="E94" s="43"/>
      <c r="F94" s="42"/>
      <c r="G94" s="42"/>
      <c r="H94" s="42"/>
      <c r="I94" s="42"/>
      <c r="J94" s="42"/>
      <c r="K94" s="42"/>
      <c r="L94" s="42"/>
      <c r="M94" s="42"/>
      <c r="N94" s="42"/>
      <c r="O94" s="43"/>
      <c r="P94" s="42"/>
    </row>
    <row r="95" ht="18.75" hidden="1" customHeight="1" spans="1:17">
      <c r="A95" s="40"/>
      <c r="B95" s="42"/>
      <c r="C95" s="42"/>
      <c r="D95" s="42"/>
      <c r="E95" s="43"/>
      <c r="F95" s="42"/>
      <c r="G95" s="42"/>
      <c r="H95" s="42"/>
      <c r="I95" s="42"/>
      <c r="J95" s="42"/>
      <c r="K95" s="42"/>
      <c r="L95" s="42"/>
      <c r="M95" s="42"/>
      <c r="N95" s="42"/>
      <c r="O95" s="43"/>
      <c r="P95" s="42"/>
    </row>
    <row r="96" ht="18.75" hidden="1" customHeight="1" spans="1:17">
      <c r="A96" s="40"/>
      <c r="B96" s="42"/>
      <c r="C96" s="42"/>
      <c r="D96" s="42"/>
      <c r="E96" s="43"/>
      <c r="F96" s="42"/>
      <c r="G96" s="42"/>
      <c r="H96" s="42"/>
      <c r="I96" s="42"/>
      <c r="J96" s="42"/>
      <c r="K96" s="42"/>
      <c r="L96" s="42"/>
      <c r="M96" s="42"/>
      <c r="N96" s="42"/>
      <c r="O96" s="43"/>
      <c r="P96" s="42"/>
    </row>
    <row r="97" ht="18.75" hidden="1" customHeight="1" spans="1:16">
      <c r="A97" s="40"/>
      <c r="B97" s="42"/>
      <c r="C97" s="42"/>
      <c r="D97" s="42"/>
      <c r="E97" s="43"/>
      <c r="F97" s="42"/>
      <c r="G97" s="42"/>
      <c r="H97" s="42"/>
      <c r="I97" s="42"/>
      <c r="J97" s="42"/>
      <c r="K97" s="42"/>
      <c r="L97" s="42"/>
      <c r="M97" s="42"/>
      <c r="N97" s="42"/>
      <c r="O97" s="43"/>
      <c r="P97" s="42"/>
    </row>
    <row r="98" ht="15" customHeight="1" spans="1:16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</row>
    <row r="99" ht="15" customHeight="1" spans="1:16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</row>
    <row r="100" ht="21.75" customHeight="1" spans="1:16">
      <c r="A100" s="15" t="s">
        <v>160</v>
      </c>
    </row>
    <row r="101" ht="27.75" customHeight="1" spans="1:16">
      <c r="A101" s="16" t="s">
        <v>90</v>
      </c>
      <c r="B101" s="16" t="s">
        <v>91</v>
      </c>
      <c r="C101" s="16" t="s">
        <v>92</v>
      </c>
      <c r="D101" s="16"/>
      <c r="E101" s="16"/>
      <c r="F101" s="16"/>
      <c r="G101" s="16" t="s">
        <v>93</v>
      </c>
      <c r="H101" s="16" t="s">
        <v>94</v>
      </c>
      <c r="I101" s="16"/>
      <c r="J101" s="16" t="s">
        <v>44</v>
      </c>
      <c r="K101" s="16" t="s">
        <v>95</v>
      </c>
      <c r="L101" s="16" t="s">
        <v>96</v>
      </c>
      <c r="M101" s="16"/>
      <c r="N101" s="16"/>
      <c r="O101" s="16"/>
      <c r="P101" s="16"/>
    </row>
    <row r="102" ht="30.75" customHeight="1" spans="1:16">
      <c r="A102" s="44">
        <v>1</v>
      </c>
      <c r="B102" s="45" t="s">
        <v>100</v>
      </c>
      <c r="C102" s="18" t="s">
        <v>101</v>
      </c>
      <c r="G102" s="19">
        <v>140</v>
      </c>
      <c r="H102" s="19">
        <v>37660000</v>
      </c>
      <c r="J102" s="20">
        <v>0.273391844705302</v>
      </c>
      <c r="K102" s="19">
        <v>11.6666666666667</v>
      </c>
      <c r="L102" s="18" t="s">
        <v>99</v>
      </c>
    </row>
    <row r="103" ht="30.75" customHeight="1" spans="1:16">
      <c r="A103" s="44">
        <v>2</v>
      </c>
      <c r="B103" s="45" t="s">
        <v>97</v>
      </c>
      <c r="C103" s="18" t="s">
        <v>98</v>
      </c>
      <c r="G103" s="19">
        <v>37</v>
      </c>
      <c r="H103" s="19">
        <v>18463000</v>
      </c>
      <c r="J103" s="20">
        <v>0.134031694869729</v>
      </c>
      <c r="K103" s="19">
        <v>3.08333333333333</v>
      </c>
      <c r="L103" s="18" t="s">
        <v>99</v>
      </c>
    </row>
    <row r="104" ht="30.75" customHeight="1" spans="1:16">
      <c r="A104" s="44">
        <v>3</v>
      </c>
      <c r="B104" s="45" t="s">
        <v>111</v>
      </c>
      <c r="C104" s="18" t="s">
        <v>101</v>
      </c>
      <c r="G104" s="19">
        <v>30</v>
      </c>
      <c r="H104" s="19">
        <v>8070000</v>
      </c>
      <c r="J104" s="20">
        <v>0.0585839667225646</v>
      </c>
      <c r="K104" s="19">
        <v>2.5</v>
      </c>
      <c r="L104" s="18" t="s">
        <v>99</v>
      </c>
    </row>
    <row r="105" ht="30.75" customHeight="1" spans="1:16">
      <c r="A105" s="44">
        <v>4</v>
      </c>
      <c r="B105" s="45" t="s">
        <v>110</v>
      </c>
      <c r="C105" s="18" t="s">
        <v>101</v>
      </c>
      <c r="G105" s="19">
        <v>25</v>
      </c>
      <c r="H105" s="19">
        <v>6725000</v>
      </c>
      <c r="J105" s="20">
        <v>0.0488199722688039</v>
      </c>
      <c r="K105" s="19">
        <v>2.08333333333333</v>
      </c>
      <c r="L105" s="18" t="s">
        <v>99</v>
      </c>
    </row>
    <row r="106" ht="30.75" customHeight="1" spans="1:16">
      <c r="A106" s="44">
        <v>5</v>
      </c>
      <c r="B106" s="45" t="s">
        <v>103</v>
      </c>
      <c r="C106" s="18" t="s">
        <v>104</v>
      </c>
      <c r="G106" s="19">
        <v>13</v>
      </c>
      <c r="H106" s="19">
        <v>6487000</v>
      </c>
      <c r="J106" s="20">
        <v>0.0470922171163912</v>
      </c>
      <c r="K106" s="19">
        <v>1.08333333333333</v>
      </c>
      <c r="L106" s="18" t="s">
        <v>99</v>
      </c>
    </row>
    <row r="107" ht="30.75" customHeight="1" spans="1:16">
      <c r="A107" s="44">
        <v>6</v>
      </c>
      <c r="B107" s="45" t="s">
        <v>243</v>
      </c>
      <c r="C107" s="18" t="s">
        <v>176</v>
      </c>
      <c r="G107" s="19">
        <v>20</v>
      </c>
      <c r="H107" s="19">
        <v>5111000</v>
      </c>
      <c r="J107" s="20">
        <v>0.0371031789242909</v>
      </c>
      <c r="K107" s="19">
        <v>1.66666666666667</v>
      </c>
      <c r="L107" s="18" t="s">
        <v>107</v>
      </c>
    </row>
    <row r="108" ht="30.75" customHeight="1" spans="1:16">
      <c r="A108" s="44">
        <v>7</v>
      </c>
      <c r="B108" s="45" t="s">
        <v>106</v>
      </c>
      <c r="C108" s="18" t="s">
        <v>98</v>
      </c>
      <c r="G108" s="19">
        <v>10</v>
      </c>
      <c r="H108" s="19">
        <v>4990000</v>
      </c>
      <c r="J108" s="20">
        <v>0.036224782397224</v>
      </c>
      <c r="K108" s="19">
        <v>0.833333333333333</v>
      </c>
      <c r="L108" s="18" t="s">
        <v>107</v>
      </c>
    </row>
    <row r="109" ht="30.75" customHeight="1" spans="1:16">
      <c r="A109" s="44">
        <v>8</v>
      </c>
      <c r="B109" s="45" t="s">
        <v>252</v>
      </c>
      <c r="C109" s="18" t="s">
        <v>176</v>
      </c>
      <c r="G109" s="19">
        <v>18</v>
      </c>
      <c r="H109" s="19">
        <v>4842000</v>
      </c>
      <c r="J109" s="20">
        <v>0.0351503800335388</v>
      </c>
      <c r="K109" s="19">
        <v>1.5</v>
      </c>
      <c r="L109" s="18" t="s">
        <v>107</v>
      </c>
    </row>
    <row r="110" ht="30.75" customHeight="1" spans="1:16">
      <c r="A110" s="44">
        <v>9</v>
      </c>
      <c r="B110" s="45" t="s">
        <v>253</v>
      </c>
      <c r="C110" s="18" t="s">
        <v>254</v>
      </c>
      <c r="G110" s="19">
        <v>12</v>
      </c>
      <c r="H110" s="19">
        <v>3948000</v>
      </c>
      <c r="J110" s="20">
        <v>0.0286604089988457</v>
      </c>
      <c r="K110" s="19">
        <v>1</v>
      </c>
      <c r="L110" s="18" t="s">
        <v>107</v>
      </c>
    </row>
    <row r="111" ht="30.75" customHeight="1" spans="1:16">
      <c r="A111" s="44">
        <v>10</v>
      </c>
      <c r="B111" s="45" t="s">
        <v>255</v>
      </c>
      <c r="C111" s="18" t="s">
        <v>104</v>
      </c>
      <c r="G111" s="19">
        <v>6</v>
      </c>
      <c r="H111" s="19">
        <v>2994000</v>
      </c>
      <c r="J111" s="20">
        <v>0.0217348694383344</v>
      </c>
      <c r="K111" s="19">
        <v>0.5</v>
      </c>
      <c r="L111" s="18" t="s">
        <v>107</v>
      </c>
    </row>
    <row r="112" ht="15" customHeight="1" spans="1:16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</row>
    <row r="113" ht="15" customHeight="1" spans="1:16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</row>
    <row r="114" ht="15" customHeight="1" spans="1:16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</row>
    <row r="115" ht="15" customHeight="1" spans="1:16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</row>
    <row r="116" ht="15" customHeight="1" spans="1: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</row>
    <row r="117" ht="15" customHeight="1" spans="1:16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</row>
    <row r="118" ht="15" customHeight="1" spans="1:16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</row>
    <row r="119" ht="15" customHeight="1" spans="1:16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</row>
    <row r="120" ht="15" customHeight="1" spans="1:16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</row>
    <row r="121" ht="15" customHeight="1" spans="1:16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</row>
    <row r="122" ht="15" customHeight="1" spans="1:16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</row>
    <row r="123" ht="15" customHeight="1" spans="1:16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</row>
    <row r="124" ht="15" customHeight="1" spans="1:16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</row>
    <row r="125" ht="15" customHeight="1" spans="1:16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</row>
    <row r="126" ht="15" customHeight="1" spans="1:1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</row>
    <row r="127" ht="15" customHeight="1" spans="1:16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</row>
    <row r="128" ht="15" customHeight="1" spans="1:16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</row>
    <row r="129" ht="15" customHeight="1" spans="1:16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</row>
    <row r="130" ht="15" customHeight="1" spans="1:16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</row>
    <row r="131" ht="15" customHeight="1" spans="1:16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</row>
    <row r="132" ht="15" customHeight="1" spans="1:16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</row>
    <row r="133" ht="15" customHeight="1" spans="1:16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</row>
    <row r="134" ht="15" customHeight="1" spans="1:16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</row>
    <row r="135" ht="15" customHeight="1" spans="1:16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</row>
    <row r="136" ht="15" customHeight="1" spans="1:1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</row>
    <row r="137" ht="15" customHeight="1" spans="1:16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</row>
    <row r="138" ht="15" customHeight="1" spans="1:16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</row>
    <row r="139" ht="15" customHeight="1" spans="1:16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</row>
  </sheetData>
  <mergeCells count="110">
    <mergeCell ref="A3:C3"/>
    <mergeCell ref="D3:F3"/>
    <mergeCell ref="G3:I3"/>
    <mergeCell ref="J3:L3"/>
    <mergeCell ref="M3:N3"/>
    <mergeCell ref="O3:P3"/>
    <mergeCell ref="A4:P4"/>
    <mergeCell ref="A6:C6"/>
    <mergeCell ref="E6:G6"/>
    <mergeCell ref="I6:K6"/>
    <mergeCell ref="M6:O6"/>
    <mergeCell ref="A9:C9"/>
    <mergeCell ref="E9:G9"/>
    <mergeCell ref="I9:K9"/>
    <mergeCell ref="M9:O9"/>
    <mergeCell ref="A10:C10"/>
    <mergeCell ref="E10:G10"/>
    <mergeCell ref="I10:K10"/>
    <mergeCell ref="M10:O10"/>
    <mergeCell ref="A13:C13"/>
    <mergeCell ref="E13:G13"/>
    <mergeCell ref="I13:K13"/>
    <mergeCell ref="M13:O13"/>
    <mergeCell ref="A15:P15"/>
    <mergeCell ref="A50:P50"/>
    <mergeCell ref="I51:P51"/>
    <mergeCell ref="I52:P52"/>
    <mergeCell ref="I53:P53"/>
    <mergeCell ref="I54:P54"/>
    <mergeCell ref="I55:P55"/>
    <mergeCell ref="I56:P56"/>
    <mergeCell ref="I57:P57"/>
    <mergeCell ref="I58:J58"/>
    <mergeCell ref="K58:L58"/>
    <mergeCell ref="M58:N58"/>
    <mergeCell ref="O58:P58"/>
    <mergeCell ref="I59:J59"/>
    <mergeCell ref="K59:L59"/>
    <mergeCell ref="M59:N59"/>
    <mergeCell ref="O59:P59"/>
    <mergeCell ref="I60:J60"/>
    <mergeCell ref="K60:L60"/>
    <mergeCell ref="M60:N60"/>
    <mergeCell ref="O60:P60"/>
    <mergeCell ref="I61:J61"/>
    <mergeCell ref="K61:L61"/>
    <mergeCell ref="M61:N61"/>
    <mergeCell ref="O61:P61"/>
    <mergeCell ref="I62:J62"/>
    <mergeCell ref="K62:L62"/>
    <mergeCell ref="M62:N62"/>
    <mergeCell ref="O62:P62"/>
    <mergeCell ref="A63:G63"/>
    <mergeCell ref="I63:J63"/>
    <mergeCell ref="K63:L63"/>
    <mergeCell ref="M63:N63"/>
    <mergeCell ref="O63:P63"/>
    <mergeCell ref="A64:B64"/>
    <mergeCell ref="C64:D64"/>
    <mergeCell ref="I64:J64"/>
    <mergeCell ref="K64:L64"/>
    <mergeCell ref="M64:N64"/>
    <mergeCell ref="O64:P64"/>
    <mergeCell ref="A65:B65"/>
    <mergeCell ref="C65:D65"/>
    <mergeCell ref="A66:B66"/>
    <mergeCell ref="C66:D66"/>
    <mergeCell ref="A67:B67"/>
    <mergeCell ref="C67:D67"/>
    <mergeCell ref="A68:P68"/>
    <mergeCell ref="A100:P100"/>
    <mergeCell ref="C102:F102"/>
    <mergeCell ref="H102:I102"/>
    <mergeCell ref="L102:P102"/>
    <mergeCell ref="C103:F103"/>
    <mergeCell ref="H103:I103"/>
    <mergeCell ref="L103:P103"/>
    <mergeCell ref="C104:F104"/>
    <mergeCell ref="H104:I104"/>
    <mergeCell ref="L104:P104"/>
    <mergeCell ref="C105:F105"/>
    <mergeCell ref="H105:I105"/>
    <mergeCell ref="L105:P105"/>
    <mergeCell ref="C106:F106"/>
    <mergeCell ref="H106:I106"/>
    <mergeCell ref="L106:P106"/>
    <mergeCell ref="C107:F107"/>
    <mergeCell ref="H107:I107"/>
    <mergeCell ref="L107:P107"/>
    <mergeCell ref="C108:F108"/>
    <mergeCell ref="H108:I108"/>
    <mergeCell ref="L108:P108"/>
    <mergeCell ref="C109:F109"/>
    <mergeCell ref="H109:I109"/>
    <mergeCell ref="L109:P109"/>
    <mergeCell ref="C110:F110"/>
    <mergeCell ref="H110:I110"/>
    <mergeCell ref="L110:P110"/>
    <mergeCell ref="C111:F111"/>
    <mergeCell ref="H111:I111"/>
    <mergeCell ref="L111:P111"/>
    <mergeCell ref="A7:C8"/>
    <mergeCell ref="M7:O8"/>
    <mergeCell ref="E11:G12"/>
    <mergeCell ref="I7:K8"/>
    <mergeCell ref="A1:P2"/>
    <mergeCell ref="I11:K12"/>
    <mergeCell ref="A11:C12"/>
    <mergeCell ref="M11:O12"/>
    <mergeCell ref="E7:G8"/>
  </mergeCells>
  <conditionalFormatting sqref="J70:J97">
    <cfRule type="dataBar" priority="4">
      <dataBar>
        <cfvo type="min"/>
        <cfvo type="max"/>
        <color rgb="FF111827"/>
      </dataBar>
      <extLst>
        <ext xmlns:x14="http://schemas.microsoft.com/office/spreadsheetml/2009/9/main" uri="{B025F937-C7B1-47D3-B67F-A62EFF666E3E}">
          <x14:id>{3339eb4b-2dbe-4e72-8d6e-f8611b2f8f17}</x14:id>
        </ext>
      </extLst>
    </cfRule>
  </conditionalFormatting>
  <conditionalFormatting sqref="N70:N97">
    <cfRule type="cellIs" dxfId="3" priority="2" operator="lessThan">
      <formula>0</formula>
    </cfRule>
  </conditionalFormatting>
  <conditionalFormatting sqref="O70:O97">
    <cfRule type="cellIs" dxfId="3" priority="3" operator="lessThan">
      <formula>0</formula>
    </cfRule>
  </conditionalFormatting>
  <pageMargins left="0.7" right="0.7" top="0.75" bottom="0.75" header="0.511811023622047" footer="0.511811023622047"/>
  <pageSetup paperSize="9" orientation="portrait" horizontalDpi="300" verticalDpi="300"/>
  <headerFooter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339eb4b-2dbe-4e72-8d6e-f8611b2f8f17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J70:J97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00_Tong_quan</vt:lpstr>
      <vt:lpstr>01_GT</vt:lpstr>
      <vt:lpstr>02_MT</vt:lpstr>
      <vt:lpstr>03_Nhanh</vt:lpstr>
      <vt:lpstr>04_Shopee</vt:lpstr>
      <vt:lpstr>05_TikTok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Vũ Nguyễn</cp:lastModifiedBy>
  <cp:revision>0</cp:revision>
  <dcterms:created xsi:type="dcterms:W3CDTF">2026-07-13T08:05:00Z</dcterms:created>
  <dcterms:modified xsi:type="dcterms:W3CDTF">2026-07-13T08:10:57Z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AFCCE04CEF7D410B91073EDD805EF340_12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